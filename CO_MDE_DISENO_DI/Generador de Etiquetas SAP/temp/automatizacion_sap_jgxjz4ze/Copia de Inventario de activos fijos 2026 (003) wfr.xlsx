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icaurte2026\INVENTARIO DE ACTIVOS FIJOS 2026\"/>
    </mc:Choice>
  </mc:AlternateContent>
  <xr:revisionPtr revIDLastSave="0" documentId="8_{D604DC71-B45A-4216-A7A5-712616533BE8}" xr6:coauthVersionLast="47" xr6:coauthVersionMax="47" xr10:uidLastSave="{00000000-0000-0000-0000-000000000000}"/>
  <bookViews>
    <workbookView xWindow="-28920" yWindow="-120" windowWidth="29040" windowHeight="15720" xr2:uid="{F5281878-D4B6-499C-BEDF-46FB8547FF1E}"/>
  </bookViews>
  <sheets>
    <sheet name="Etiqueta provisional" sheetId="1" r:id="rId1"/>
    <sheet name="Hoja1" sheetId="3" r:id="rId2"/>
    <sheet name="Hoja3" sheetId="5" r:id="rId3"/>
    <sheet name="Base de datos" sheetId="2" r:id="rId4"/>
  </sheets>
  <definedNames>
    <definedName name="_xlnm._FilterDatabase" localSheetId="3" hidden="1">'Base de datos'!$A$2:$S$712</definedName>
    <definedName name="_xlnm._FilterDatabase" localSheetId="1" hidden="1">Hoja1!$A$1:$C$671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</calcChain>
</file>

<file path=xl/sharedStrings.xml><?xml version="1.0" encoding="utf-8"?>
<sst xmlns="http://schemas.openxmlformats.org/spreadsheetml/2006/main" count="9818" uniqueCount="1367">
  <si>
    <t>COP</t>
  </si>
  <si>
    <t>CO92002</t>
  </si>
  <si>
    <t>3009</t>
  </si>
  <si>
    <t>CABINA DE GRANALLADO Y TOLVA DE GRANALLADO</t>
  </si>
  <si>
    <t>0</t>
  </si>
  <si>
    <t>900000000048</t>
  </si>
  <si>
    <t>FABRICACION DISPOSITIVO DE CARGUE</t>
  </si>
  <si>
    <t>900000000019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</si>
  <si>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</si>
  <si>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</si>
  <si>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</si>
  <si>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</si>
  <si>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</si>
  <si>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</si>
  <si>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</si>
  <si>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</si>
  <si>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</si>
  <si>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</si>
  <si>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</si>
  <si>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</si>
  <si>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</si>
  <si>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</si>
  <si>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</si>
  <si>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</si>
  <si>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CO42001</t>
  </si>
  <si>
    <t>EQUIPO DE IMPULSO 550 KVA HV2011 SERIE 2011</t>
  </si>
  <si>
    <t>103358</t>
  </si>
  <si>
    <t>ANALIZADOR REDES FLUKE REF.435 HV950 SN.14910023</t>
  </si>
  <si>
    <t>103357</t>
  </si>
  <si>
    <t>CPC100 OMICRON HV3100-3101-3102 SN.UG594C</t>
  </si>
  <si>
    <t>103356</t>
  </si>
  <si>
    <t>MEDIDOR RESISTENCIA DEVANADOS-CONTACTOS NTI HV019</t>
  </si>
  <si>
    <t>103355</t>
  </si>
  <si>
    <t>OHMETRO DIGITAL CROPICO D02 HV018</t>
  </si>
  <si>
    <t>103354</t>
  </si>
  <si>
    <t>PINZA AMPERIMETRICA MARCA FLUKE 376 FC HV 932</t>
  </si>
  <si>
    <t>103353</t>
  </si>
  <si>
    <t>MED POTENCIA YOKOGAWA REF WT333E SN.C3UG23017E</t>
  </si>
  <si>
    <t>103352</t>
  </si>
  <si>
    <t>MED POTENCIA YOKOGAWA WT333E SN.C3UH20019E HV009</t>
  </si>
  <si>
    <t>103351</t>
  </si>
  <si>
    <t>TERMOHIGRO BAROMETRO DIGITAL MHB-382 SD</t>
  </si>
  <si>
    <t>103350</t>
  </si>
  <si>
    <t>MULTIMETRO FLUKE 289 TRUE RMS SN.24570196 HV092</t>
  </si>
  <si>
    <t>103349</t>
  </si>
  <si>
    <t>MULTIMETRO FLUKE 289 TRUE RMS SN.42190040 HV090A</t>
  </si>
  <si>
    <t>103348</t>
  </si>
  <si>
    <t>MEDIDOR DE NIVEL DE RUIDO HV 909A</t>
  </si>
  <si>
    <t>103347</t>
  </si>
  <si>
    <t>PINZAS DE CORRIENTE FLUKE I40</t>
  </si>
  <si>
    <t>103346</t>
  </si>
  <si>
    <t>103345</t>
  </si>
  <si>
    <t>103344</t>
  </si>
  <si>
    <t>103343</t>
  </si>
  <si>
    <t>CONJUNTO INDICADOR DE TEMPERATURA 10 CANALES HV111</t>
  </si>
  <si>
    <t>103342</t>
  </si>
  <si>
    <t>CO52001</t>
  </si>
  <si>
    <t>WS DELL PRO MAX TOWER T2 CORE ULTRA 7 265 - 64GB</t>
  </si>
  <si>
    <t>103341</t>
  </si>
  <si>
    <t>103340</t>
  </si>
  <si>
    <t>103339</t>
  </si>
  <si>
    <t>103338</t>
  </si>
  <si>
    <t>LAPTOP DELL PRO 15 PV15250 CORE I5 16GB RAM 16GB</t>
  </si>
  <si>
    <t>103337</t>
  </si>
  <si>
    <t>LAPTOP DELL PRO 14 PC 14250/6DWCJ/FACIPROCESOS</t>
  </si>
  <si>
    <t>103336</t>
  </si>
  <si>
    <t>LAPTOP DELL PRO 14 PC 14250 / 6DWCJ/</t>
  </si>
  <si>
    <t>103335</t>
  </si>
  <si>
    <t>LALTOP DELL PRO 14 PC14250 6DWCJ P/NUEVO VENTAS2</t>
  </si>
  <si>
    <t>103333</t>
  </si>
  <si>
    <t>LALTOP DELL PRO 14 PC14250 6DWCJ P/NUEVO VENTAS1</t>
  </si>
  <si>
    <t>103332</t>
  </si>
  <si>
    <t>LALTOP DELL PRO 14 PC14250 6DWCJ P/NUEVO RH</t>
  </si>
  <si>
    <t>103331</t>
  </si>
  <si>
    <t>LALTOP DELL PRO 14 PC14250 6DWCJ P/NUEVO PCP</t>
  </si>
  <si>
    <t>103330</t>
  </si>
  <si>
    <t>CO41001</t>
  </si>
  <si>
    <t>EQ MILLER CST 282 208-575V DINSE</t>
  </si>
  <si>
    <t>103329</t>
  </si>
  <si>
    <t>LAPTOP DELL LATITUDE 3450 /REPOALEJANDRO</t>
  </si>
  <si>
    <t>103316</t>
  </si>
  <si>
    <t>LAPTOP DELL LATITUDE 3450 /REPOPRACTHSEQ</t>
  </si>
  <si>
    <t>103315</t>
  </si>
  <si>
    <t>LAPTOP DELL LATITUDE 3450 ALEXISSANABR</t>
  </si>
  <si>
    <t>103314</t>
  </si>
  <si>
    <t>LAPTOP DELL LATITUDE 3450 CORE I5 1TB SSD 32GB RAM</t>
  </si>
  <si>
    <t>103313</t>
  </si>
  <si>
    <t>MAQUINA CORTADORA ELECTRICA ZAPP 1250 TITAN,</t>
  </si>
  <si>
    <t>103302</t>
  </si>
  <si>
    <t>WORKSTATION DELL PRO MAX T2 I7 64GB RAM</t>
  </si>
  <si>
    <t>103293</t>
  </si>
  <si>
    <t>BRAZO ARTICULADO ELECTRICO ZOOMLION ZA14NJE/LI ALT</t>
  </si>
  <si>
    <t>103292</t>
  </si>
  <si>
    <t>WOSKSTATION DELL PRO MAX T2 INTEL CORE ULTRA 7 265</t>
  </si>
  <si>
    <t>103291</t>
  </si>
  <si>
    <t>SOLDADOR MIG/MAG FRONIUS 400I</t>
  </si>
  <si>
    <t>103288</t>
  </si>
  <si>
    <t>LAPTOP LENOVO THINKPAD 14 32GB RAM</t>
  </si>
  <si>
    <t>103287</t>
  </si>
  <si>
    <t>LAPTOP DELL LATITUDE 3450 I5 13G</t>
  </si>
  <si>
    <t>103279</t>
  </si>
  <si>
    <t>103278</t>
  </si>
  <si>
    <t>103277</t>
  </si>
  <si>
    <t>LAPTOP DELL PRO MAX 16 I7 U9 32GB RAM</t>
  </si>
  <si>
    <t>103276</t>
  </si>
  <si>
    <t>CISCO CATALYST 9120AX SERIES</t>
  </si>
  <si>
    <t>103237</t>
  </si>
  <si>
    <t>TORNO CONVENCIONAL MECANEX CW62140C/3000 MAX</t>
  </si>
  <si>
    <t>103235</t>
  </si>
  <si>
    <t>FRESADORA DE TORRETA VERTICAL KONDOR 4VH MESA DE</t>
  </si>
  <si>
    <t>103234</t>
  </si>
  <si>
    <t>PAPERBOARD CYLINDER ROLLING MACHINE MODE</t>
  </si>
  <si>
    <t>103233</t>
  </si>
  <si>
    <t>PORTATIL LATITUDE 3450 CORE I5 1335U 512GB SSD</t>
  </si>
  <si>
    <t>103230</t>
  </si>
  <si>
    <t>LAPTOP DELL LATITUDE 3450 I5 16GB RAM</t>
  </si>
  <si>
    <t>103229</t>
  </si>
  <si>
    <t>103228</t>
  </si>
  <si>
    <t>103227</t>
  </si>
  <si>
    <t>MANDRIL EXPANSIBLE, DIÁMETRO ÚTIL DE 140 A 195 MM</t>
  </si>
  <si>
    <t>103226</t>
  </si>
  <si>
    <t>VERTICALIZADOR PARA BOBINAS</t>
  </si>
  <si>
    <t>103225</t>
  </si>
  <si>
    <t>DELL LATITUDE 5450 ULTRA 5 125U 16GB RAM 1TB SSD</t>
  </si>
  <si>
    <t>103222</t>
  </si>
  <si>
    <t>WORSTATION PRECISION 3680 I7 8 GB</t>
  </si>
  <si>
    <t>103220</t>
  </si>
  <si>
    <t>WORSTATION PRECISION 3680 I7 8GB</t>
  </si>
  <si>
    <t>103219</t>
  </si>
  <si>
    <t>CO46001</t>
  </si>
  <si>
    <t>￠950 -￠1100 EXPANDABLE MANDREL - USABLE LENGTH:</t>
  </si>
  <si>
    <t>103218</t>
  </si>
  <si>
    <t>￠700 -￠950  EXPANDABLE MANDREL - USABLE LENGTH:</t>
  </si>
  <si>
    <t>103217</t>
  </si>
  <si>
    <t>CATALYST 9200L 48 PORT POE+ NETWORK</t>
  </si>
  <si>
    <t>103216</t>
  </si>
  <si>
    <t>ASPIRADORA DE GRANALLA NEUMATICA HELIOS C540</t>
  </si>
  <si>
    <t>103215</t>
  </si>
  <si>
    <t>SOLDADOR MILLER XMT450 CC/CV 230/460V COMPLETO</t>
  </si>
  <si>
    <t>103214</t>
  </si>
  <si>
    <t>DESKTOP OPTIPLEX 7020</t>
  </si>
  <si>
    <t>103213</t>
  </si>
  <si>
    <t>DESKTOP OPTIPLEX 7020+TARJGRAF/DIS ELEC</t>
  </si>
  <si>
    <t>103212</t>
  </si>
  <si>
    <t>103211</t>
  </si>
  <si>
    <t>103210</t>
  </si>
  <si>
    <t>DELL LATITUDE NK94V I5-1235U 16GB RAM 512GB SSD</t>
  </si>
  <si>
    <t>103209</t>
  </si>
  <si>
    <t>103208</t>
  </si>
  <si>
    <t>103207</t>
  </si>
  <si>
    <t>103206</t>
  </si>
  <si>
    <t>103205</t>
  </si>
  <si>
    <t>DELL 3680MT INTELCORE I7 64GB RAM 1TBSSD+512GB HD</t>
  </si>
  <si>
    <t>103204</t>
  </si>
  <si>
    <t>103203</t>
  </si>
  <si>
    <t>MÁQ DE PONCHADO N2 + DADOS P REDONDEAR</t>
  </si>
  <si>
    <t>103202</t>
  </si>
  <si>
    <t>MÁQ DE PONCHADO Y DADOS PARA REDONDEAR</t>
  </si>
  <si>
    <t>103201</t>
  </si>
  <si>
    <t>LAPTOP DELL LATITUDE 3440 I5 32 GB RAM</t>
  </si>
  <si>
    <t>103199</t>
  </si>
  <si>
    <t>BOMBA DE VACIO LEYBOLD SV 630B</t>
  </si>
  <si>
    <t>103198</t>
  </si>
  <si>
    <t>SOLDADORA ESAB 202I PRO</t>
  </si>
  <si>
    <t>103197</t>
  </si>
  <si>
    <t>CO44001</t>
  </si>
  <si>
    <t>MOLDE EXPANSIVO 298 A 528 N.01 - 92817</t>
  </si>
  <si>
    <t>103196</t>
  </si>
  <si>
    <t>MESA HIDRAULICA MONTAR RECAMARA REATOR</t>
  </si>
  <si>
    <t>103195</t>
  </si>
  <si>
    <t>MESA DE MONTAJE DE NUCLEO MF</t>
  </si>
  <si>
    <t>103194</t>
  </si>
  <si>
    <t>BOBINADORA HORIZONTAL AT 20 MVA N.03- 92739</t>
  </si>
  <si>
    <t>103193</t>
  </si>
  <si>
    <t>BOMBA DE VACIO ROTATIVA BA-251 EQUIP SECADO</t>
  </si>
  <si>
    <t>103192</t>
  </si>
  <si>
    <t>DELL PRECISION MT 3680 INTEL CORE I7 64GB RAM</t>
  </si>
  <si>
    <t>103191</t>
  </si>
  <si>
    <t>P3591ULTRA INTEL ULTRA 7 32GB RAM 1TB SSD 15.6P P</t>
  </si>
  <si>
    <t>103190</t>
  </si>
  <si>
    <t>103189</t>
  </si>
  <si>
    <t>103188</t>
  </si>
  <si>
    <t>KIT COMPLETO PARA SANDBLASTING COUTO</t>
  </si>
  <si>
    <t>103187</t>
  </si>
  <si>
    <t>PAPERBOARD BOARD SHEARING MACHINE SLJB-2500SK</t>
  </si>
  <si>
    <t>103186</t>
  </si>
  <si>
    <t>EQUIPO DOBLADOR PARA CABLE CTC</t>
  </si>
  <si>
    <t>103185</t>
  </si>
  <si>
    <t>MAQUINA BOBINADORA 5 HP MOTOR COAXIAL</t>
  </si>
  <si>
    <t>103184</t>
  </si>
  <si>
    <t>BOBINADORA AT-BTXDE 3T 100RPM</t>
  </si>
  <si>
    <t>103182</t>
  </si>
  <si>
    <t>LAPTOP PRECISION 3591 ULTRA 7165H 32GB W11</t>
  </si>
  <si>
    <t>103180</t>
  </si>
  <si>
    <t>DESKTOP OPTIPLEX SFF 7020 I5 16 GB W11</t>
  </si>
  <si>
    <t>103179</t>
  </si>
  <si>
    <t>LAPTOP DELL 3440 16 GB I5 W11</t>
  </si>
  <si>
    <t>103178</t>
  </si>
  <si>
    <t>103177</t>
  </si>
  <si>
    <t>PELACABLES RECTANGULAR ABS600</t>
  </si>
  <si>
    <t>103176</t>
  </si>
  <si>
    <t>103175</t>
  </si>
  <si>
    <t>CO47001</t>
  </si>
  <si>
    <t>MEDIDOR KYORITSU KEW3125B</t>
  </si>
  <si>
    <t>103173</t>
  </si>
  <si>
    <t>DESKTOP WGMG0 OPTIPLEX 7020 DISEÑO ELECTRICO</t>
  </si>
  <si>
    <t>103172</t>
  </si>
  <si>
    <t>BOMBA HIDRONEUMATICA XA12G ENERPAC 5 T</t>
  </si>
  <si>
    <t>103171</t>
  </si>
  <si>
    <t>SOLDADOR ESAB GTAW HELIARC 403I MV AC/DC</t>
  </si>
  <si>
    <t>103170</t>
  </si>
  <si>
    <t>WORKSTATION PRECISION 3591 32 GB W11 P3591ULTRA7X4</t>
  </si>
  <si>
    <t>103169</t>
  </si>
  <si>
    <t>MEDIDOR DE RESISTENCIA METREL MI 3280</t>
  </si>
  <si>
    <t>103168</t>
  </si>
  <si>
    <t>DESKTOP DELL PRECISION 3680MT I7 128GB RAM</t>
  </si>
  <si>
    <t>103165</t>
  </si>
  <si>
    <t>LAPTOP LATITUDE 3440 I5 16 GB W11</t>
  </si>
  <si>
    <t>103164</t>
  </si>
  <si>
    <t>103163</t>
  </si>
  <si>
    <t>103162</t>
  </si>
  <si>
    <t>103161</t>
  </si>
  <si>
    <t>PUNZONADO CON AVANCE AUTOMATIZADO CNCC-25</t>
  </si>
  <si>
    <t>103160</t>
  </si>
  <si>
    <t>ESTRACTOR DE POLVO BULL FM2A</t>
  </si>
  <si>
    <t>103157</t>
  </si>
  <si>
    <t>LIJADORA BULL SD6X12</t>
  </si>
  <si>
    <t>MEDIDOR CAMPO MAGNETICO TLMP-ELF</t>
  </si>
  <si>
    <t>103156</t>
  </si>
  <si>
    <t>WORKSTATION DELL PRECISION 3680 I7 64GB RAM</t>
  </si>
  <si>
    <t>103155</t>
  </si>
  <si>
    <t>103154</t>
  </si>
  <si>
    <t>CISCO CATALYST 9200L 48P4GE</t>
  </si>
  <si>
    <t>103149</t>
  </si>
  <si>
    <t>DISPOSITIVOS DE RECONOCIMIENTO FACIAL</t>
  </si>
  <si>
    <t>103148</t>
  </si>
  <si>
    <t>103147</t>
  </si>
  <si>
    <t>HORNO A GAS 48M3</t>
  </si>
  <si>
    <t>103146</t>
  </si>
  <si>
    <t>LAPTOP DELL LATITUDE 3440 I7 16 GB</t>
  </si>
  <si>
    <t>103141</t>
  </si>
  <si>
    <t>DESKTOP OPTIPLEX SFF 7010 I5 16 GB W11</t>
  </si>
  <si>
    <t>103139</t>
  </si>
  <si>
    <t>103138</t>
  </si>
  <si>
    <t>LAPTOP DELL LATITUDE 3540 16 GB W11</t>
  </si>
  <si>
    <t>103136</t>
  </si>
  <si>
    <t>LAPTOP THINKPAD L14 I7 16 GB 512 GB SSD W11</t>
  </si>
  <si>
    <t>103131</t>
  </si>
  <si>
    <t>MANDRIL EXPANSIVO 140-195 MM</t>
  </si>
  <si>
    <t>103130</t>
  </si>
  <si>
    <t>103129</t>
  </si>
  <si>
    <t>103128</t>
  </si>
  <si>
    <t>SOPORTE YUGO 1800MM</t>
  </si>
  <si>
    <t>103125</t>
  </si>
  <si>
    <t>DOBLADORA DE TUBO HIDRAULICA HTB-1000</t>
  </si>
  <si>
    <t>103123</t>
  </si>
  <si>
    <t>PURIFICADOR DE ACEITE VEGETAL HZLY-20 DOBLE ETAPA</t>
  </si>
  <si>
    <t>103119</t>
  </si>
  <si>
    <t>TROMPO TAILOR WOOD TP45</t>
  </si>
  <si>
    <t>103118</t>
  </si>
  <si>
    <t>LAPTOP DELL PRECISION I7 64 GB</t>
  </si>
  <si>
    <t>103117</t>
  </si>
  <si>
    <t>103116</t>
  </si>
  <si>
    <t>103115</t>
  </si>
  <si>
    <t>BANCO DE CONDENSADORES 4160V ZHIYUE</t>
  </si>
  <si>
    <t>103114</t>
  </si>
  <si>
    <t>MANDRIL EXPANSIVO 440-700</t>
  </si>
  <si>
    <t>103113</t>
  </si>
  <si>
    <t>MANDRIL EXPANSIVO 300-450</t>
  </si>
  <si>
    <t>103112</t>
  </si>
  <si>
    <t>MANDRIL EXPANSIVO 195-300</t>
  </si>
  <si>
    <t>103111</t>
  </si>
  <si>
    <t>103110</t>
  </si>
  <si>
    <t>CO52002</t>
  </si>
  <si>
    <t>WORKSTATION MICRO TORRE P3660 I7 64 GB</t>
  </si>
  <si>
    <t>103089</t>
  </si>
  <si>
    <t>EQUIPO SOPORTE DURANTE EL MONTAGE DE NUCLEO</t>
  </si>
  <si>
    <t>103087</t>
  </si>
  <si>
    <t>BOBINADORA TOROIDAL RWE EVOLUTION MGB TD 400 CON</t>
  </si>
  <si>
    <t>103086</t>
  </si>
  <si>
    <t>HORNO A GAS NATURAL CURAR RESINA HEPOXICA</t>
  </si>
  <si>
    <t>103074</t>
  </si>
  <si>
    <t>DESKTOP DELL WORKSTATION VOSTRO 3020</t>
  </si>
  <si>
    <t>103073</t>
  </si>
  <si>
    <t>DELL WORKSTATION PRECISION MT3660</t>
  </si>
  <si>
    <t>103072</t>
  </si>
  <si>
    <t>103071</t>
  </si>
  <si>
    <t>MEDIDOR TTR OHMETRO RMO-TH</t>
  </si>
  <si>
    <t>103070</t>
  </si>
  <si>
    <t>103069</t>
  </si>
  <si>
    <t>BOX ELECTRIC FURNACE SA2-12TP</t>
  </si>
  <si>
    <t>103068</t>
  </si>
  <si>
    <t>LAPTOP DELL LATITUDE 3440 I5 16 GB W11</t>
  </si>
  <si>
    <t>103067</t>
  </si>
  <si>
    <t>103066</t>
  </si>
  <si>
    <t>103065</t>
  </si>
  <si>
    <t>103064</t>
  </si>
  <si>
    <t>KIT INSPECCION POSITECTOR  ESPESOR DEFELSKO</t>
  </si>
  <si>
    <t>103063</t>
  </si>
  <si>
    <t>103062</t>
  </si>
  <si>
    <t>CO99999</t>
  </si>
  <si>
    <t>EQUIPO HIDRAULICO PARA MESA DE ARMADO NUCLEOS</t>
  </si>
  <si>
    <t>103061</t>
  </si>
  <si>
    <t>MESA ARMADO 2 TON CON GUIAS MECANICAS</t>
  </si>
  <si>
    <t>103060</t>
  </si>
  <si>
    <t>CALIBRADOR PIE REY 534-104 MITUTOYO</t>
  </si>
  <si>
    <t>103059</t>
  </si>
  <si>
    <t>LAPTOP DELL LATITUDE 3440 ASTEC - VENTAS</t>
  </si>
  <si>
    <t>103037</t>
  </si>
  <si>
    <t>LAPTOP DELL LATITUDE 3440 ANDRES CASTAÑEDA</t>
  </si>
  <si>
    <t>103036</t>
  </si>
  <si>
    <t>LAPTOP DELL LATITUDE 3440 JULIANA OCAMPO</t>
  </si>
  <si>
    <t>103035</t>
  </si>
  <si>
    <t>LAPTOP DELL LATITUDE 3440 WILFREDO URIBE</t>
  </si>
  <si>
    <t>103034</t>
  </si>
  <si>
    <t>MILLER XMT 450 CC/CV AUX POWER</t>
  </si>
  <si>
    <t>103033</t>
  </si>
  <si>
    <t>103032</t>
  </si>
  <si>
    <t>MEDIDOR DE HUMEDAD E+E ELEKTRONIK</t>
  </si>
  <si>
    <t>103029</t>
  </si>
  <si>
    <t>MEDIDOR DE HUMEDAD EN EL ACEITE MMP78</t>
  </si>
  <si>
    <t>103028</t>
  </si>
  <si>
    <t>CONJUNTO DE HERRAMIENTAS 1/0-2/0-4/0</t>
  </si>
  <si>
    <t>103027</t>
  </si>
  <si>
    <t>DOBLADORA DE TUBO HIDRAULICA HTB 1000</t>
  </si>
  <si>
    <t>103026</t>
  </si>
  <si>
    <t>LAPTOP DELL LATITUDE 3420 I5 14 HD</t>
  </si>
  <si>
    <t>103016</t>
  </si>
  <si>
    <t>SACABOCADO  MILWAUKEE M18 LOGIC 10T</t>
  </si>
  <si>
    <t>103015</t>
  </si>
  <si>
    <t>CONJUNTO CILINDRO HIDRAULICO ENERPAC</t>
  </si>
  <si>
    <t>103005</t>
  </si>
  <si>
    <t>MEDIDOR DE RESISTENCIA NTI MRD-50-10</t>
  </si>
  <si>
    <t>103004</t>
  </si>
  <si>
    <t>PUENTE GRUA 5 TON HYUNDAI GN021</t>
  </si>
  <si>
    <t>LAPTOP DELL LATITUDE 3420 I5 16GB RAM</t>
  </si>
  <si>
    <t>103001</t>
  </si>
  <si>
    <t>PRENSADORA HIDRAULICA 8 CILINDROS CAP 5TON 2500PSI</t>
  </si>
  <si>
    <t>102981</t>
  </si>
  <si>
    <t>HERRAM. ZUPPER PZ-240 P/ PRENSADO CABLE HIDRAULICO</t>
  </si>
  <si>
    <t>102980</t>
  </si>
  <si>
    <t>HERRAMIENTA ZUPPER ED-85C P/ CORTE</t>
  </si>
  <si>
    <t>102979</t>
  </si>
  <si>
    <t>HERRAMIENTA ZUPPER ED-400 P/ PRENSADO DE CABLE</t>
  </si>
  <si>
    <t>102978</t>
  </si>
  <si>
    <t>DESKTOP DELL OPTIPLEX SFF 7010 I5 16GB RAM</t>
  </si>
  <si>
    <t>102976</t>
  </si>
  <si>
    <t>DESTAPADORA MILWAOKEE 2572B M12 AIRSNAKE</t>
  </si>
  <si>
    <t>102972</t>
  </si>
  <si>
    <t>PUENTE GRUA HYUNDAI CAP 3 TON</t>
  </si>
  <si>
    <t>102958</t>
  </si>
  <si>
    <t>ACOLILLADORA INGLETEADOR DWS780 12-15 AMP DW718</t>
  </si>
  <si>
    <t>102953</t>
  </si>
  <si>
    <t>WORKSTATION DELL PRECISION 3260 CFF I7 16GB RAM</t>
  </si>
  <si>
    <t>102949</t>
  </si>
  <si>
    <t>CO51001</t>
  </si>
  <si>
    <t>AIRE ACONDICIONADO MINI SPLIT LG VS122C7 12000 BTU</t>
  </si>
  <si>
    <t>102945</t>
  </si>
  <si>
    <t>COLECTOR DE POLVOS 2 HP BULL 220V</t>
  </si>
  <si>
    <t>102943</t>
  </si>
  <si>
    <t>SIERRA COLILLADORA INGLETEADORA 12" DEWALT DWS715</t>
  </si>
  <si>
    <t>AFILADOR DE BROCAS VERTEX VDG-13A-221</t>
  </si>
  <si>
    <t>102942</t>
  </si>
  <si>
    <t>COLECTOR DE POLVO 5 HP BULL 3F FM300S-5</t>
  </si>
  <si>
    <t>102941</t>
  </si>
  <si>
    <t>CONJUNTO DE HERRAMIENTAS DE NYLON AREA BOBINADO</t>
  </si>
  <si>
    <t>102940</t>
  </si>
  <si>
    <t>LAPTOP DELL LATITUDE 3420 16GB RAM 14" HD W10 PRO</t>
  </si>
  <si>
    <t>102939</t>
  </si>
  <si>
    <t>AIRE ACONDICIONADO LG INVERTER MINISPLIT 12000 BTU</t>
  </si>
  <si>
    <t>102937</t>
  </si>
  <si>
    <t>LAPTOP DELL LATITUDE 3420 8GB RAM</t>
  </si>
  <si>
    <t>102936</t>
  </si>
  <si>
    <t>102935</t>
  </si>
  <si>
    <t>102934</t>
  </si>
  <si>
    <t>102933</t>
  </si>
  <si>
    <t>DESKTOP DELL OPTIPLEX SFF 3090 BTS I3 8GB RAM</t>
  </si>
  <si>
    <t>102927</t>
  </si>
  <si>
    <t>DESKTOP DELL OPTIPLEX 7090 SFF D15S-R4JC6 8GB RAM</t>
  </si>
  <si>
    <t>102926</t>
  </si>
  <si>
    <t>102925</t>
  </si>
  <si>
    <t>COMPUTADOR PORTATIL DELL LATITUDE 3420 8GB RAM</t>
  </si>
  <si>
    <t>102924</t>
  </si>
  <si>
    <t>PISTOLA DE CALOR SOLANO AT 120V/1800W US PLUG</t>
  </si>
  <si>
    <t>102922</t>
  </si>
  <si>
    <t>102920</t>
  </si>
  <si>
    <t>COMPUTADOR PORTATIL DELL LATITUDE 3420 Y OFFICE 21</t>
  </si>
  <si>
    <t>102917</t>
  </si>
  <si>
    <t>102916</t>
  </si>
  <si>
    <t>102915</t>
  </si>
  <si>
    <t>PINZA AMPERIMETRICA HIOKI CC P2000 CM4375-92</t>
  </si>
  <si>
    <t>102913</t>
  </si>
  <si>
    <t>102912</t>
  </si>
  <si>
    <t>102911</t>
  </si>
  <si>
    <t>CALIBRADOR DE DESCARGAS PARCIALES HV2073A</t>
  </si>
  <si>
    <t>102910</t>
  </si>
  <si>
    <t>ESTIBADORA MANUAL HU LIFT 5 TONELADAS</t>
  </si>
  <si>
    <t>102909</t>
  </si>
  <si>
    <t>102908</t>
  </si>
  <si>
    <t>102907</t>
  </si>
  <si>
    <t>MED AISLAM OHM KYORITSU 5KV 35TERA SN.W8410735</t>
  </si>
  <si>
    <t>102901</t>
  </si>
  <si>
    <t>MED AISLAM OHM KYORITSU 5KV 35TERA SN.W8398647</t>
  </si>
  <si>
    <t>102900</t>
  </si>
  <si>
    <t>MED AISLAM OHM KIORITSU 12KV 35TERA SN.E0209628</t>
  </si>
  <si>
    <t>102899</t>
  </si>
  <si>
    <t>AIRE ACONDICIONADO LG INVERTER SPLIT 12000 BTU</t>
  </si>
  <si>
    <t>102898</t>
  </si>
  <si>
    <t>AIRE ACONDICIONADO LG INVERTER FAN COIL 30000 BTU</t>
  </si>
  <si>
    <t>102897</t>
  </si>
  <si>
    <t>CAMARA TERMOGRAFICA FLUKE FLK TIS75 9HZ</t>
  </si>
  <si>
    <t>102896</t>
  </si>
  <si>
    <t>TELEVISOR SMART SAMSUNG LED 55 CRYSTAL UHD 4K</t>
  </si>
  <si>
    <t>102894</t>
  </si>
  <si>
    <t>102893</t>
  </si>
  <si>
    <t>102892</t>
  </si>
  <si>
    <t>PRENSA HIDRAULICA MANUAL 20 TONELADAS</t>
  </si>
  <si>
    <t>102884</t>
  </si>
  <si>
    <t>COMPUTADOR PORTATIL DELL LATITUDE 3420 P144G 512G</t>
  </si>
  <si>
    <t>102880</t>
  </si>
  <si>
    <t>102879</t>
  </si>
  <si>
    <t>102878</t>
  </si>
  <si>
    <t>MANDRIL EXPANSIBLE 700-950MM DIAMETRO</t>
  </si>
  <si>
    <t>102877</t>
  </si>
  <si>
    <t>MANDRIL EXPANSIBLE 440-700MM DIAMETRO</t>
  </si>
  <si>
    <t>102876</t>
  </si>
  <si>
    <t>MANDRIL EXPANSIBLE 300-450MM DIAMETRO</t>
  </si>
  <si>
    <t>102875</t>
  </si>
  <si>
    <t>MANDRIL EXPANSIBLE 195-300MM DIAMETRO</t>
  </si>
  <si>
    <t>102874</t>
  </si>
  <si>
    <t>COMPUTADOR PORTATIL DELL LATITUDE 5420 P137G-N2HTG</t>
  </si>
  <si>
    <t>102873</t>
  </si>
  <si>
    <t>102872</t>
  </si>
  <si>
    <t>CO43001</t>
  </si>
  <si>
    <t>TROQUELADORA YANGLIN J23-25B 25 TON</t>
  </si>
  <si>
    <t>102870</t>
  </si>
  <si>
    <t>ELEVADOR DE CARGA ELECTRICO CAP 9 MTS CON BATERIA</t>
  </si>
  <si>
    <t>102868</t>
  </si>
  <si>
    <t>COLECTOR DE POLVO 2HP 1T</t>
  </si>
  <si>
    <t>102867</t>
  </si>
  <si>
    <t>SIERRA SIN FIN VERTICAL OAV 4300A 430MM 2.0 HP</t>
  </si>
  <si>
    <t>COLECTOR DE POLVO 3 HP 1T</t>
  </si>
  <si>
    <t>102866</t>
  </si>
  <si>
    <t>CEPILLO ELECTRICO BULL EQUIPMENT CAP 500MM 220V</t>
  </si>
  <si>
    <t>ESTIBADORA INDUSTRIAL HU-LIFT MANUAL 5 TON</t>
  </si>
  <si>
    <t>102865</t>
  </si>
  <si>
    <t>SIERRA SINFIN INDUSTRIAL SEMIAUTOMATICA COSEN</t>
  </si>
  <si>
    <t>102864</t>
  </si>
  <si>
    <t>EXTRACTOR MOBILEPRO 230V/3/60HZ CON BRAZO</t>
  </si>
  <si>
    <t>102863</t>
  </si>
  <si>
    <t>102862</t>
  </si>
  <si>
    <t>IMPRESORA RICOH M320F LASER MULTIFUNCION</t>
  </si>
  <si>
    <t>102861</t>
  </si>
  <si>
    <t>102860</t>
  </si>
  <si>
    <t>102859</t>
  </si>
  <si>
    <t>LAPTOP DELL LATITUDE 3420 14"HD W10PRO Y OFFICE</t>
  </si>
  <si>
    <t>102858</t>
  </si>
  <si>
    <t>102857</t>
  </si>
  <si>
    <t>CILINDRO HIDRAULICO 5IN ENERPAC CAP 4.9 T</t>
  </si>
  <si>
    <t>102828</t>
  </si>
  <si>
    <t>BOMBA HIDRONEUMATICA TIPO PEDAL CON 2 PALANCAS</t>
  </si>
  <si>
    <t>102827</t>
  </si>
  <si>
    <t>RETROFITTING CABINA DE PINTURA TANQUES CH055</t>
  </si>
  <si>
    <t>102826</t>
  </si>
  <si>
    <t>CABINA DE PINTURA TANQUES CH055</t>
  </si>
  <si>
    <t>ZUNCHADORA NEUMATICA</t>
  </si>
  <si>
    <t>102825</t>
  </si>
  <si>
    <t>AIRE ACONDICIONADO AREA PCP</t>
  </si>
  <si>
    <t>102824</t>
  </si>
  <si>
    <t>SOLDADOR DE PERNOS ARC1201</t>
  </si>
  <si>
    <t>102823</t>
  </si>
  <si>
    <t>HV107 A MEDIDOR DE RELACION DE TRANSFORMACION TTR</t>
  </si>
  <si>
    <t>102822</t>
  </si>
  <si>
    <t>TTR MONOFASICO AUTOMATICO Y OPERADO POR BATERIA</t>
  </si>
  <si>
    <t>102821</t>
  </si>
  <si>
    <t>LAPTOP LENOVO THINKPAD E490 CORE I5 8 RAM 1TB</t>
  </si>
  <si>
    <t>102820</t>
  </si>
  <si>
    <t>COMPUTADORA DESKTOP LENOVO M720S CORE I7 16 RAM</t>
  </si>
  <si>
    <t>102819</t>
  </si>
  <si>
    <t>102818</t>
  </si>
  <si>
    <t>102816</t>
  </si>
  <si>
    <t>WORKSTATION DELL TORRE 3630 CORE I7 32 RAM 1 TB</t>
  </si>
  <si>
    <t>102815</t>
  </si>
  <si>
    <t>102814</t>
  </si>
  <si>
    <t>LAPTOP DELL LATITUDE 3420 CORE I5 8 RAM</t>
  </si>
  <si>
    <t>102813</t>
  </si>
  <si>
    <t>COMPUTADORA DESKTOP DELL SFF CORE I5 400 G6 8 RAM</t>
  </si>
  <si>
    <t>102812</t>
  </si>
  <si>
    <t>COMPUTADORA PORTATIL DELL LATITUDE 3420</t>
  </si>
  <si>
    <t>102811</t>
  </si>
  <si>
    <t>102810</t>
  </si>
  <si>
    <t>102809</t>
  </si>
  <si>
    <t>ZUNCHADORA NEUMATICA 19MM IWISS</t>
  </si>
  <si>
    <t>102804</t>
  </si>
  <si>
    <t>COMPUTADORA PORTATIL DELL LATITUDE 3420 I5 P/</t>
  </si>
  <si>
    <t>102803</t>
  </si>
  <si>
    <t>102802</t>
  </si>
  <si>
    <t>102801</t>
  </si>
  <si>
    <t>COMPUTADORA PORTATIL DELL LATITUDE 3420 I5 P/ ROSA</t>
  </si>
  <si>
    <t>102800</t>
  </si>
  <si>
    <t>MOLDE CALZO INFERIOR PIN 80MM INYECCION PLASTICA</t>
  </si>
  <si>
    <t>102799</t>
  </si>
  <si>
    <t>MOLDE CALZO SUPERIOR ENCAJE 80MM INYECCION</t>
  </si>
  <si>
    <t>102798</t>
  </si>
  <si>
    <t>MOLDE CALZO BARRERA 80MM INYECCION PLASTICA DE</t>
  </si>
  <si>
    <t>102797</t>
  </si>
  <si>
    <t>TALADRO MAGNETICO INALAMBRICO MILWAUKEE 2787-22HD</t>
  </si>
  <si>
    <t>102795</t>
  </si>
  <si>
    <t>COMPUTADORA PORTATIL DELL LATITUDE 3420 I7</t>
  </si>
  <si>
    <t>102783</t>
  </si>
  <si>
    <t>DISPOSITIVO DOBLADOR CABLE TRANSPUESTO</t>
  </si>
  <si>
    <t>102781</t>
  </si>
  <si>
    <t>SOLDADOR MULTIFUNCIONAL MILLER XMT 450</t>
  </si>
  <si>
    <t>102780</t>
  </si>
  <si>
    <t>COMPUTADORA DESKTOP DELL OPTIPLEX 7090 ARMANDO</t>
  </si>
  <si>
    <t>102779</t>
  </si>
  <si>
    <t>COMPUTADORA DESKTOP DELL OPTIPLEX 7090 JOHNNY</t>
  </si>
  <si>
    <t>102778</t>
  </si>
  <si>
    <t>COMPUTADORA DESKTOP DELL OPTIPLEX 7090 YEBRI NOVOA</t>
  </si>
  <si>
    <t>102777</t>
  </si>
  <si>
    <t>COMPUTADORA DESKTOP DELL OPTIPLEX 7090 CAMILO MESA</t>
  </si>
  <si>
    <t>102776</t>
  </si>
  <si>
    <t>CO60001</t>
  </si>
  <si>
    <t>CAMIONETA VOLVO XC60 B5 MOMENTUM</t>
  </si>
  <si>
    <t>102769</t>
  </si>
  <si>
    <t>5XCFF/DELL 7090SFF / HECTOR PAJON</t>
  </si>
  <si>
    <t>102764</t>
  </si>
  <si>
    <t>LAPTOP DELL 5420 M2 N2HTG 512GB P/ FERNANDO PROCES</t>
  </si>
  <si>
    <t>102763</t>
  </si>
  <si>
    <t>0FH1Y /DELL 3420 SSD480GB/ PAULA CADAVID</t>
  </si>
  <si>
    <t>102762</t>
  </si>
  <si>
    <t>0FH1Y /DELL 3420 SSD480GB/ PAOLA ARANGO</t>
  </si>
  <si>
    <t>102761</t>
  </si>
  <si>
    <t>LAPTOP DELL LATITUDE 3420 I5 G7 SSD 250GB 8GB</t>
  </si>
  <si>
    <t>102760</t>
  </si>
  <si>
    <t>FLEJADORA NEUMATICA P380 FROOM 19MM</t>
  </si>
  <si>
    <t>102759</t>
  </si>
  <si>
    <t>SOLDADOR 450 XMT MILLER</t>
  </si>
  <si>
    <t>102758</t>
  </si>
  <si>
    <t>EXTRACTOR DE POLVO HOLY TEK 2 SALIDAS 2HP</t>
  </si>
  <si>
    <t>102757</t>
  </si>
  <si>
    <t>MULTIMETRO FLUKE 289 TRUE RMS SN.57550067 HV 074</t>
  </si>
  <si>
    <t>102754</t>
  </si>
  <si>
    <t>MULTIMETRO DIGITAL FLUKE 289 TRUE RMS SN.575500</t>
  </si>
  <si>
    <t>102753</t>
  </si>
  <si>
    <t>GABIENETE TERMICO M-1594 CALENTADOR ALMUERZO 8</t>
  </si>
  <si>
    <t>102746</t>
  </si>
  <si>
    <t>COMPUTADOR PORTATIL DELL LATITUDE 3420</t>
  </si>
  <si>
    <t>102737</t>
  </si>
  <si>
    <t>102730</t>
  </si>
  <si>
    <t>102729</t>
  </si>
  <si>
    <t>102728</t>
  </si>
  <si>
    <t>BLOQUE SECO DE TEMPERATURA HART SCIENTIFIC</t>
  </si>
  <si>
    <t>102727</t>
  </si>
  <si>
    <t>6YY0T/ DELL 3080 MFF 1TB+256M2</t>
  </si>
  <si>
    <t>102722</t>
  </si>
  <si>
    <t>ESTIBADORA MANUAL 5 TON </t>
  </si>
  <si>
    <t>102720</t>
  </si>
  <si>
    <t>DELL LATITUDE 34200FH1Y</t>
  </si>
  <si>
    <t>102713</t>
  </si>
  <si>
    <t>EQUIPO MEDICION DIRANA</t>
  </si>
  <si>
    <t>102707</t>
  </si>
  <si>
    <t>EQUIPO MEDICION FRANEO 800 HV2303</t>
  </si>
  <si>
    <t>102706</t>
  </si>
  <si>
    <t>EQUIPO MEDICION TESTRANO HV2350</t>
  </si>
  <si>
    <t>102705</t>
  </si>
  <si>
    <t>PORTATIL DELL LATITUDE 3420</t>
  </si>
  <si>
    <t>102702</t>
  </si>
  <si>
    <t>102701</t>
  </si>
  <si>
    <t>102700</t>
  </si>
  <si>
    <t>102699</t>
  </si>
  <si>
    <t>PORTATIL DELL 3420 CORE i5</t>
  </si>
  <si>
    <t>102683</t>
  </si>
  <si>
    <t>MAQUINA LASER DE FIBRA</t>
  </si>
  <si>
    <t>102682</t>
  </si>
  <si>
    <t>JUEGO DE PUNZONES PARA CIZALLA M55</t>
  </si>
  <si>
    <t>102681</t>
  </si>
  <si>
    <t>CIZALLA MULTIPLE M55 EN083</t>
  </si>
  <si>
    <t>MOLDE DE INYECCION CALZO CIRCULAR 80MM</t>
  </si>
  <si>
    <t>102665</t>
  </si>
  <si>
    <t>AIRE ACONDICIONADO LG 24000 BTU </t>
  </si>
  <si>
    <t>102664</t>
  </si>
  <si>
    <t>OFICINA GERENCIA VENTAS Y AUXILIARES Y PUERTA VID</t>
  </si>
  <si>
    <t>102654</t>
  </si>
  <si>
    <t>MUEBLES Y ENSERES COMPRAS  (ESCRITORIO)</t>
  </si>
  <si>
    <t>102653</t>
  </si>
  <si>
    <t>MUEBLES Y ENSERES (PORTERIA)</t>
  </si>
  <si>
    <t>102652</t>
  </si>
  <si>
    <t>MUEBLES Y ENSERES PRODUCCION (ESCRITORIO)</t>
  </si>
  <si>
    <t>102645</t>
  </si>
  <si>
    <t>102644</t>
  </si>
  <si>
    <t>102643</t>
  </si>
  <si>
    <t>102642</t>
  </si>
  <si>
    <t>102641</t>
  </si>
  <si>
    <t>102640</t>
  </si>
  <si>
    <t>102639</t>
  </si>
  <si>
    <t>MUEBLES Y ENSERES CONTABILIDAD (ESCRITORIO)</t>
  </si>
  <si>
    <t>102638</t>
  </si>
  <si>
    <t>102637</t>
  </si>
  <si>
    <t>MUEBLES Y ENSERES PCP (ESCRITORIO)</t>
  </si>
  <si>
    <t>102636</t>
  </si>
  <si>
    <t>102635</t>
  </si>
  <si>
    <t>MUEBLES Y ENSERES ASISTENCIA TECNICA  (ESCRITORIOS</t>
  </si>
  <si>
    <t>102634</t>
  </si>
  <si>
    <t>102633</t>
  </si>
  <si>
    <t>RACK Y OFICINA TI</t>
  </si>
  <si>
    <t>102632</t>
  </si>
  <si>
    <t>MUEBLES, CAJONERAS REMOD. DISENO, RRHH GER INDUS</t>
  </si>
  <si>
    <t>102631</t>
  </si>
  <si>
    <t>MUEBLES Y ENSERES DISEÑO (ESCRITORIOS)</t>
  </si>
  <si>
    <t>102630</t>
  </si>
  <si>
    <t>ARCHIVO RODANTE</t>
  </si>
  <si>
    <t>102629</t>
  </si>
  <si>
    <t>102628</t>
  </si>
  <si>
    <t>CAJONERAS, ESCRITORIO REMOD. RRHH ESCRITORIOS</t>
  </si>
  <si>
    <t>102627</t>
  </si>
  <si>
    <t>MESA DE JUNTAS NOVA 1.80 X 0.90 FORMICA</t>
  </si>
  <si>
    <t>102626</t>
  </si>
  <si>
    <t>ESCRITORIO NOVA 2.00 X 2.00  IZQ. FORMICA Y AUXILI</t>
  </si>
  <si>
    <t>102625</t>
  </si>
  <si>
    <t>CREDENZA NOVA T 2.00 X 0.60 FORMICA</t>
  </si>
  <si>
    <t>102624</t>
  </si>
  <si>
    <t>OFICINA SALA DE JUNTAS ESCRITORIOS Y AUXILIARES</t>
  </si>
  <si>
    <t>102623</t>
  </si>
  <si>
    <t>MUEBLES Y ENSERES RECEPCION (ESCRITORIOS)</t>
  </si>
  <si>
    <t>102622</t>
  </si>
  <si>
    <t>FOLDERAMA DE 5 ENTRADAS GRAD. M/PLAT.</t>
  </si>
  <si>
    <t>102621</t>
  </si>
  <si>
    <t>102620</t>
  </si>
  <si>
    <t>102619</t>
  </si>
  <si>
    <t>102618</t>
  </si>
  <si>
    <t>BOMBA DE ALTO VACIO NKVW 1083 M3/H</t>
  </si>
  <si>
    <t>102617</t>
  </si>
  <si>
    <t>DISPOSITIVO ISAJE PARA TRANSFORMADORES PESO &gt;40TON</t>
  </si>
  <si>
    <t>102597</t>
  </si>
  <si>
    <t>SIERRA SINFÍN VERTICAL CNC</t>
  </si>
  <si>
    <t>102594</t>
  </si>
  <si>
    <t>Computador CORE I5, HDD 500 GB, WIN 10 PRO, 8 GB R</t>
  </si>
  <si>
    <t>102572</t>
  </si>
  <si>
    <t>Computador CORE I5, HDD 500 GB, WIN 10 PRO, 6 GB R</t>
  </si>
  <si>
    <t>102571</t>
  </si>
  <si>
    <t>102570</t>
  </si>
  <si>
    <t>Red voz y datos remodelación, certificaciones y ca</t>
  </si>
  <si>
    <t>24</t>
  </si>
  <si>
    <t>102532</t>
  </si>
  <si>
    <t>23</t>
  </si>
  <si>
    <t>22</t>
  </si>
  <si>
    <t>21</t>
  </si>
  <si>
    <t>20</t>
  </si>
  <si>
    <t>19</t>
  </si>
  <si>
    <t>18</t>
  </si>
  <si>
    <t>17</t>
  </si>
  <si>
    <t>RED VOZ Y DATOS REMODELACION CERTIFICACIONES Y CA</t>
  </si>
  <si>
    <t>Dinamómetro lineal con capacidad 50ton</t>
  </si>
  <si>
    <t>102526</t>
  </si>
  <si>
    <t>Computador tipo escritorio, CORE I5 Generación 11</t>
  </si>
  <si>
    <t>102509</t>
  </si>
  <si>
    <t>Latitude 34202 40CV2 40CV Portatil</t>
  </si>
  <si>
    <t>102508</t>
  </si>
  <si>
    <t>102507</t>
  </si>
  <si>
    <t>AIRE ACONDICIONADO PRODUCCION</t>
  </si>
  <si>
    <t>102492</t>
  </si>
  <si>
    <t>AIRE ACONDICIONADO GERENCIA INDUSTRIAL</t>
  </si>
  <si>
    <t>102491</t>
  </si>
  <si>
    <t>THINKPAD X1 CARBON GEN 10 COREI5</t>
  </si>
  <si>
    <t>102486</t>
  </si>
  <si>
    <t>CO53001</t>
  </si>
  <si>
    <t>LICENCIA SOLIDWORKS STANDARD</t>
  </si>
  <si>
    <t>102468</t>
  </si>
  <si>
    <t>Circuito cerrado de television BODEGAS WEG</t>
  </si>
  <si>
    <t>102462</t>
  </si>
  <si>
    <t>Computador tipo escritorio Superior 7, Decima gene</t>
  </si>
  <si>
    <t>102461</t>
  </si>
  <si>
    <t>Computador tipo escritorio 5, 16 GB RAM, WIN 10 PR</t>
  </si>
  <si>
    <t>102460</t>
  </si>
  <si>
    <t>Computador tipo escritorio I7, 16 GB RAM, SSD 256</t>
  </si>
  <si>
    <t>102459</t>
  </si>
  <si>
    <t>Computador portatil I7, SSD 500 GB, WIN 10 PRO, 8</t>
  </si>
  <si>
    <t>102458</t>
  </si>
  <si>
    <t>LAPTOP LENOVO THINKPAD E14 20RBS35T00</t>
  </si>
  <si>
    <t>102457</t>
  </si>
  <si>
    <t>MOLDE INYECCION PLASTICA PARA FABRICAR CALZO EMPAQ</t>
  </si>
  <si>
    <t>102454</t>
  </si>
  <si>
    <t>MOLDE INYECCION PLASTICA PARA FABRICAR CALZO PIN I</t>
  </si>
  <si>
    <t>102453</t>
  </si>
  <si>
    <t>MOLDE INYECCION PLASTICA PARA FABRICAR CALZO SOPOR</t>
  </si>
  <si>
    <t>102452</t>
  </si>
  <si>
    <t>COMPLEMENTO BOBINADORA AT TUBOLY FHVT 150-1</t>
  </si>
  <si>
    <t>102451</t>
  </si>
  <si>
    <t>BOBINADORA TUBOLY ALTA TENSION PE024 EQIP 10138882</t>
  </si>
  <si>
    <t>CORTADORA PLASMA POWER MAX 30XP</t>
  </si>
  <si>
    <t>102425</t>
  </si>
  <si>
    <t>MOLDE INYECCION PLASTICA PARA FABRICAR EMPAQUE CIR</t>
  </si>
  <si>
    <t>102393</t>
  </si>
  <si>
    <t>MOLDE INYECCION PLASTICA PARA FABRICAR CALZO CIRCU</t>
  </si>
  <si>
    <t>102392</t>
  </si>
  <si>
    <t>BOBINADORA TUBOLY M-3780 BT PE025. EQUIPO 10153019</t>
  </si>
  <si>
    <t>102358</t>
  </si>
  <si>
    <t>GABINETE POTENCIA VARIAC 62.4 KVA POWERSTAT HV132</t>
  </si>
  <si>
    <t>102333</t>
  </si>
  <si>
    <t>SineWave Guardian,208-240vac,0-60Hz,250Amps,Modula</t>
  </si>
  <si>
    <t>102332</t>
  </si>
  <si>
    <t>MEDIDOR DE TEMPERATURA NEOPTIX OFX-2 OMNIFLEX-2</t>
  </si>
  <si>
    <t>102329</t>
  </si>
  <si>
    <t>CNC ROUTER MR1530-F - MAQUINA COMPUTARIZADA GN072</t>
  </si>
  <si>
    <t>102316</t>
  </si>
  <si>
    <t>PLANTA PARA TRATAMIENTO DE ACEITE</t>
  </si>
  <si>
    <t>102296</t>
  </si>
  <si>
    <t>PUENTE GRUA 5 TONELADAS TXK CH044</t>
  </si>
  <si>
    <t>102295</t>
  </si>
  <si>
    <t>PUENTE GRUA 5 TONELADAS HYUNDAI CH054</t>
  </si>
  <si>
    <t>102294</t>
  </si>
  <si>
    <t>PUENTE GRUA 13 TONELADAS GH (GN010)</t>
  </si>
  <si>
    <t>102293</t>
  </si>
  <si>
    <t>PUENTE GRUA 3 TON BOD. 2 NAVE 1 ATRÁS GN043</t>
  </si>
  <si>
    <t>102291</t>
  </si>
  <si>
    <t>PUENTE GRUA 5 TON HYUNDAI (GN044)</t>
  </si>
  <si>
    <t>102290</t>
  </si>
  <si>
    <t>PUENTE GRUA 5TON HYUNDAI (GN011)</t>
  </si>
  <si>
    <t>102289</t>
  </si>
  <si>
    <t>ESTANTERIA CASCAS ENCAPSULADOS</t>
  </si>
  <si>
    <t>102287</t>
  </si>
  <si>
    <t>BOBINADORA BROOMFIELD 600 A</t>
  </si>
  <si>
    <t>102286</t>
  </si>
  <si>
    <t>HORNO DE CURADO PREMAC (EN012)</t>
  </si>
  <si>
    <t>102283</t>
  </si>
  <si>
    <t>HORNO DE CURADO PREMAC 2 IM003</t>
  </si>
  <si>
    <t>102282</t>
  </si>
  <si>
    <t>TTR MONOFASICO MED TRANSFORMADOR RAYTECH HV110</t>
  </si>
  <si>
    <t>102281</t>
  </si>
  <si>
    <t>BOBINADORA BROOMFIELD 600 (BN018)</t>
  </si>
  <si>
    <t>102280</t>
  </si>
  <si>
    <t>BOMBA DE VACIO MARCA EDWARDS ES65</t>
  </si>
  <si>
    <t>102278</t>
  </si>
  <si>
    <t>BOBINADORA  A.C.E (BN001)</t>
  </si>
  <si>
    <t>102277</t>
  </si>
  <si>
    <t>BOBINADORA BROOMFIEL 500 A</t>
  </si>
  <si>
    <t>102275</t>
  </si>
  <si>
    <t>COPA CHISPOMETRO BAUR ASTM D877</t>
  </si>
  <si>
    <t>102274</t>
  </si>
  <si>
    <t>COPA CHISPOMETRO BAUR ASTM D1816</t>
  </si>
  <si>
    <t>102273</t>
  </si>
  <si>
    <t>AUMENTO DE CAPACIDAD POLIPASTO PARA 5 TON</t>
  </si>
  <si>
    <t>102272</t>
  </si>
  <si>
    <t>PUENTE GRUA 5TON BODEGA 1 NAVE 1 ADEL GN016</t>
  </si>
  <si>
    <t>PUENTE GRUA DE 3 TONELADAS TKX (GN065)</t>
  </si>
  <si>
    <t>102271</t>
  </si>
  <si>
    <t>POLIPASTO DE 3 TON CORTE NAVE 1 ATRAS</t>
  </si>
  <si>
    <t>102270</t>
  </si>
  <si>
    <t>TRANSFORMADOR DE 30 KVA 1 AE</t>
  </si>
  <si>
    <t>102269</t>
  </si>
  <si>
    <t>PUNZONADORA - DOBLADORA HIDRAULICA (EN015)</t>
  </si>
  <si>
    <t>102268</t>
  </si>
  <si>
    <t>ESTANTERIAS METALICAS PARA ALAMBRE (60 UNIDADES)</t>
  </si>
  <si>
    <t>102266</t>
  </si>
  <si>
    <t>MOTOGENERADOR 100 HP-75 KVA SN:KR411050 - MO HV121</t>
  </si>
  <si>
    <t>102262</t>
  </si>
  <si>
    <t>SIERRA SIN FIN VERTICAL OAV SBW-4300A EN080</t>
  </si>
  <si>
    <t>102261</t>
  </si>
  <si>
    <t>SOLDADOR MILLER XMT 350</t>
  </si>
  <si>
    <t>102259</t>
  </si>
  <si>
    <t>BOBINADORA MAXEI TIPO 11C 500 (BN007)</t>
  </si>
  <si>
    <t>102257</t>
  </si>
  <si>
    <t>TALADRO DE BANCO TOTECH REF 45E CON CAJA DE PIÑON</t>
  </si>
  <si>
    <t>102256</t>
  </si>
  <si>
    <t>ESTANTERIAS METALICAS PARA LAMINILLA DE COBRE 34UN</t>
  </si>
  <si>
    <t>102254</t>
  </si>
  <si>
    <t>SOLDADOR INVERSOR MILLER REF CST280 CH032</t>
  </si>
  <si>
    <t>102252</t>
  </si>
  <si>
    <t>SOLDADOR MULTIFUNCIONAL MILLER XMT 350 CH049</t>
  </si>
  <si>
    <t>102251</t>
  </si>
  <si>
    <t>SOLDADOR MILLER REF CST280 CH022</t>
  </si>
  <si>
    <t>102250</t>
  </si>
  <si>
    <t>COMPRESOR TORNILLO COMPAIR ESTACIONARIO 15 GN001</t>
  </si>
  <si>
    <t>102249</t>
  </si>
  <si>
    <t>CIZALLA CORTE MANUAL TIPO KGM1015 SERIAL2010 BN021</t>
  </si>
  <si>
    <t>102247</t>
  </si>
  <si>
    <t>PUNZONADORA HIDRAULICA MARCA ENERPAC (EN073)</t>
  </si>
  <si>
    <t>102246</t>
  </si>
  <si>
    <t>BOBINADORA AT-BT SIMPLE (BN005)</t>
  </si>
  <si>
    <t>102244</t>
  </si>
  <si>
    <t>FUENTE DE 100 KV PARA EQUIPO DE IMPULSO HV 2012A</t>
  </si>
  <si>
    <t>102243</t>
  </si>
  <si>
    <t>10 MESONES EN MADERA CON BASE METALICA</t>
  </si>
  <si>
    <t>102242</t>
  </si>
  <si>
    <t>ESTANTERIA METALICA PARA ALMACENAMIENTO DE MATERIA</t>
  </si>
  <si>
    <t>102241</t>
  </si>
  <si>
    <t>102240</t>
  </si>
  <si>
    <t>TRANSFORMADOR TRIFÁSICO SECO</t>
  </si>
  <si>
    <t>102239</t>
  </si>
  <si>
    <t>BANCO DE CONDENSADORES 6MVA 34.5 KV HV916</t>
  </si>
  <si>
    <t>102238</t>
  </si>
  <si>
    <t>SISTEMA DE AIRE ACONDICIONADO MARCA LG INVERTER V</t>
  </si>
  <si>
    <t>102237</t>
  </si>
  <si>
    <t>TRANSFORMADOR DE ALTA TENSIÓN DE 15 KVA</t>
  </si>
  <si>
    <t>102236</t>
  </si>
  <si>
    <t>CONTROL DISPOSITIVOS DE SEGUIMIENTO Y MEDICION SER</t>
  </si>
  <si>
    <t>102235</t>
  </si>
  <si>
    <t>102232</t>
  </si>
  <si>
    <t>CIZALLA DE PEDAL MODELO FH52/18 (BN011)</t>
  </si>
  <si>
    <t>102231</t>
  </si>
  <si>
    <t>CEPILLO ELECT. MAKITA REF 2012 NB022</t>
  </si>
  <si>
    <t>102229</t>
  </si>
  <si>
    <t>SIERRA SIN FIN HORZ BS-712N METAL BAND SAW S AL005</t>
  </si>
  <si>
    <t>102228</t>
  </si>
  <si>
    <t>ESTIBADORA AMARILLA MARCA HU-LIFT  3000 KG (GN067)</t>
  </si>
  <si>
    <t>102227</t>
  </si>
  <si>
    <t>MOTOGENERADOR SANYO ELÉCTRICO CO LTD 461491 - HV12</t>
  </si>
  <si>
    <t>102226</t>
  </si>
  <si>
    <t>TRANSFORMADOR DE 75 KVA  MARCA WEG</t>
  </si>
  <si>
    <t>102225</t>
  </si>
  <si>
    <t>TRANSFORMADOR DE 75 KVA SN:56400112 HV144</t>
  </si>
  <si>
    <t>102224</t>
  </si>
  <si>
    <t>PUENTE GRUA 1 TONELADA POLIPASTO IM002</t>
  </si>
  <si>
    <t>102222</t>
  </si>
  <si>
    <t>BIBILIOTECA MADERA 48 MODULOS</t>
  </si>
  <si>
    <t>102220</t>
  </si>
  <si>
    <t>TRANSFORMADOR DE 30 KVA ALTA CORRIENTE HV143A</t>
  </si>
  <si>
    <t>102219</t>
  </si>
  <si>
    <t>SILLAS MODULARES CON RODACHINES COLOR NEGRO 11UN</t>
  </si>
  <si>
    <t>102218</t>
  </si>
  <si>
    <t>DIVISOR RESISTIVO SERIE 15298</t>
  </si>
  <si>
    <t>102216</t>
  </si>
  <si>
    <t>TRANSFORMADOR 30 KVA 3AE ALTO VOLTAJE HV154</t>
  </si>
  <si>
    <t>102215</t>
  </si>
  <si>
    <t>AUTOTRANSFORMADOR DE 230 KVA HV151</t>
  </si>
  <si>
    <t>102214</t>
  </si>
  <si>
    <t>TRAFO DE MEDIDA 3.75 SERIAL 45540118 VA HV257</t>
  </si>
  <si>
    <t>102211</t>
  </si>
  <si>
    <t>TRAFO DE MEDIDA 3.75 SERIAL 45540218 VA HV258</t>
  </si>
  <si>
    <t>102210</t>
  </si>
  <si>
    <t>TRAFO DE MEDIDA 3.75 VA SERIAL 45540318 HV V259</t>
  </si>
  <si>
    <t>102209</t>
  </si>
  <si>
    <t>TRITURADOR DE PAPEL MARCA MARTIN YALE 2000 CC</t>
  </si>
  <si>
    <t>102200</t>
  </si>
  <si>
    <t>TRANSFORMADORES DE CORRIENTE  5 VA SERIE 91090609</t>
  </si>
  <si>
    <t>102199</t>
  </si>
  <si>
    <t>TRANSFORMADORES DE CORRIENTE  5 VA SERIE 91090509</t>
  </si>
  <si>
    <t>102198</t>
  </si>
  <si>
    <t>TRANSFORMADORES DE CORRIENTE  5 VA SERIE 91090409</t>
  </si>
  <si>
    <t>102197</t>
  </si>
  <si>
    <t>IMPRESORA MULTIFUNCIONAL LEXMARK MX421</t>
  </si>
  <si>
    <t>102196</t>
  </si>
  <si>
    <t>102195</t>
  </si>
  <si>
    <t>102194</t>
  </si>
  <si>
    <t>AUTOTRANSFORMADOR 104 KVA SN:42560111 HV153</t>
  </si>
  <si>
    <t>102187</t>
  </si>
  <si>
    <t>TRANSFORMADORES DE CORRIENTE  15 VA SERIE 91090309</t>
  </si>
  <si>
    <t>102185</t>
  </si>
  <si>
    <t>TRANSFORMADORES DE CORRIENTE  15 VA SERIE 91090209</t>
  </si>
  <si>
    <t>102184</t>
  </si>
  <si>
    <t>TRANSFORMADORES DE CORRIENTE  15 VA SERIE 91090109</t>
  </si>
  <si>
    <t>102183</t>
  </si>
  <si>
    <t>SILLAS MODULARES CON RODACHINES COLOR NEGRO 14UN</t>
  </si>
  <si>
    <t>102182</t>
  </si>
  <si>
    <t>ESTANTERIAS DE 6 PUESTOS 39 UNIDADES (ARCHIVO HIST</t>
  </si>
  <si>
    <t>102179</t>
  </si>
  <si>
    <t>ESTANTERIA METALICA 4 MODULOS</t>
  </si>
  <si>
    <t>102178</t>
  </si>
  <si>
    <t>102177</t>
  </si>
  <si>
    <t>102176</t>
  </si>
  <si>
    <t>SILLA GIRATORIA OFICINA (7 UNIDADES)</t>
  </si>
  <si>
    <t>102175</t>
  </si>
  <si>
    <t>DIVISOR CAPASITIVO DE 300 KV 86470</t>
  </si>
  <si>
    <t>102170</t>
  </si>
  <si>
    <t>TRANSFORMADOR DE 112.5 KVA HVA 155</t>
  </si>
  <si>
    <t>102157</t>
  </si>
  <si>
    <t>NEVERA MARCA HACEB</t>
  </si>
  <si>
    <t>102156</t>
  </si>
  <si>
    <t>SILLAS DE OFICINA CON RODACHINES 4 AZULES Y 1 NE 5</t>
  </si>
  <si>
    <t>102155</t>
  </si>
  <si>
    <t>SISTEMA DE AIRE ACONDICIONADO MARCA COMFORT STYLE</t>
  </si>
  <si>
    <t>102153</t>
  </si>
  <si>
    <t>ARCHIVADOR PUERTA CORREDIZA METALICO</t>
  </si>
  <si>
    <t>102152</t>
  </si>
  <si>
    <t>ARCHIVADOR METALICO PUERTA CORREDIZA</t>
  </si>
  <si>
    <t>102151</t>
  </si>
  <si>
    <t>CONTROL DE EXTRACTORES MONOFASICOS</t>
  </si>
  <si>
    <t>102150</t>
  </si>
  <si>
    <t>ARCHIVADOR MADERA DOS MODULOS</t>
  </si>
  <si>
    <t>102149</t>
  </si>
  <si>
    <t>ARCHIVADOR EN MADERA COLOR MARMOL 12 PUESTOS</t>
  </si>
  <si>
    <t>102145</t>
  </si>
  <si>
    <t>MESA RECTANGULAR EN MADERA CON VIDRIO</t>
  </si>
  <si>
    <t>102138</t>
  </si>
  <si>
    <t>SILLAS GIRATORIAS DE OFICINA 5UN</t>
  </si>
  <si>
    <t>102137</t>
  </si>
  <si>
    <t>ESCRITORIO 2 MODULOS CON ARCHIVADOR METALICO</t>
  </si>
  <si>
    <t>102132</t>
  </si>
  <si>
    <t>CLOSET DE MADERA - ARCHIVADOR</t>
  </si>
  <si>
    <t>102118</t>
  </si>
  <si>
    <t>RUTEADORA MARCA PERLES SERIAL 07060013 (EN044)</t>
  </si>
  <si>
    <t>102117</t>
  </si>
  <si>
    <t>CT ANALYZER MARCA OMICRON HV 3200</t>
  </si>
  <si>
    <t>102115</t>
  </si>
  <si>
    <t>ARCHIVADOR METALICO 4 GABINETES COLOR GRIS OSCURO</t>
  </si>
  <si>
    <t>102113</t>
  </si>
  <si>
    <t>ARCHIVADOR METALICO 4 GABINETES COLOR GRIS</t>
  </si>
  <si>
    <t>102112</t>
  </si>
  <si>
    <t>102111</t>
  </si>
  <si>
    <t>TRANSFORMADORES DE POTENCIAL  SERIE 580303B</t>
  </si>
  <si>
    <t>102104</t>
  </si>
  <si>
    <t>TRANSFORMADORES DE POTENCIAL  SERIE 580302B</t>
  </si>
  <si>
    <t>102103</t>
  </si>
  <si>
    <t>TRANSFORMADORES DE POTENCIAL  SERIE 580301B</t>
  </si>
  <si>
    <t>102102</t>
  </si>
  <si>
    <t>ARCHIVADOR METALICO TRES MODULOS</t>
  </si>
  <si>
    <t>102099</t>
  </si>
  <si>
    <t>ARCHIVADOR DE 3 MODULOS EN MADERA</t>
  </si>
  <si>
    <t>102093</t>
  </si>
  <si>
    <t>102092</t>
  </si>
  <si>
    <t>102091</t>
  </si>
  <si>
    <t>ARCHIVADOR METALICO 3 MODULOS CON ESCRITORIO EN MA</t>
  </si>
  <si>
    <t>102090</t>
  </si>
  <si>
    <t>102089</t>
  </si>
  <si>
    <t>102088</t>
  </si>
  <si>
    <t>ESCRITORIO MADERA OFICINA ALMACEN</t>
  </si>
  <si>
    <t>102083</t>
  </si>
  <si>
    <t>MESA REDONDA EN MADERA CON VIDRIO</t>
  </si>
  <si>
    <t>102082</t>
  </si>
  <si>
    <t>2 ARCHIVADORES METALICOS CADA UNA CON 3 CAJONERAS</t>
  </si>
  <si>
    <t>102081</t>
  </si>
  <si>
    <t>102080</t>
  </si>
  <si>
    <t>TALADRO DE BANCO MARCA HITACHI (ST007)</t>
  </si>
  <si>
    <t>102076</t>
  </si>
  <si>
    <t>2 RECTAS EN MADERA CON BASE METALICA</t>
  </si>
  <si>
    <t>102073</t>
  </si>
  <si>
    <t>ARCHIVADOR METALICO 2 GABINETES COLOR GRIS</t>
  </si>
  <si>
    <t>102072</t>
  </si>
  <si>
    <t>102071</t>
  </si>
  <si>
    <t>ARCHIVADOR METALICO 2 MODULOS EN MADERA</t>
  </si>
  <si>
    <t>102069</t>
  </si>
  <si>
    <t>ESCRITORIO EN MADERA DOS MODULOS TAPA GRIS</t>
  </si>
  <si>
    <t>102068</t>
  </si>
  <si>
    <t>ARCHIVADOR METALICO 2 MODULOS</t>
  </si>
  <si>
    <t>102067</t>
  </si>
  <si>
    <t>102066</t>
  </si>
  <si>
    <t>SILLAS DE ESCRITORIO 3 AZULES Y UMA 4UN</t>
  </si>
  <si>
    <t>102051</t>
  </si>
  <si>
    <t>ARCHIVADOR METALICO 3 MODULOS CON SUPERIOR RECTA E</t>
  </si>
  <si>
    <t>102050</t>
  </si>
  <si>
    <t>102049</t>
  </si>
  <si>
    <t>102048</t>
  </si>
  <si>
    <t>2 ARCHIVADORES METALICOS CADA UNO 3 MODULOS CON SU</t>
  </si>
  <si>
    <t>102047</t>
  </si>
  <si>
    <t>102046</t>
  </si>
  <si>
    <t>102045</t>
  </si>
  <si>
    <t>102044</t>
  </si>
  <si>
    <t>ARCHIVADOR METALICO 3 MODULOS ESCRITORIO EN MADERA</t>
  </si>
  <si>
    <t>102043</t>
  </si>
  <si>
    <t>102042</t>
  </si>
  <si>
    <t>102039</t>
  </si>
  <si>
    <t>102038</t>
  </si>
  <si>
    <t>ARCHIVADOR METALICO 2 MODULOS CON SUPERIOR RECTA E</t>
  </si>
  <si>
    <t>102037</t>
  </si>
  <si>
    <t>102036</t>
  </si>
  <si>
    <t>102034</t>
  </si>
  <si>
    <t>102033</t>
  </si>
  <si>
    <t>SILLAS MODULARES CON RODACHINES NEGRA Y AZUL 2UN</t>
  </si>
  <si>
    <t>102030</t>
  </si>
  <si>
    <t>ESCRITORIO EN MADERA CON RECTA DE VIDRIO</t>
  </si>
  <si>
    <t>102027</t>
  </si>
  <si>
    <t>102026</t>
  </si>
  <si>
    <t>PISTOLA NEUMATICA SENCO (HU002)</t>
  </si>
  <si>
    <t>102020</t>
  </si>
  <si>
    <t>PISTOLA NEUMATICA SENCO REF PAL90 (HU007)</t>
  </si>
  <si>
    <t>102019</t>
  </si>
  <si>
    <t>102014</t>
  </si>
  <si>
    <t>102011</t>
  </si>
  <si>
    <t>102010</t>
  </si>
  <si>
    <t>102009</t>
  </si>
  <si>
    <t>102008</t>
  </si>
  <si>
    <t>102007</t>
  </si>
  <si>
    <t>1 ARCHIVADOR CON 3 CAJONERAS Y 1 RECTA EN MADERA B</t>
  </si>
  <si>
    <t>102006</t>
  </si>
  <si>
    <t>102005</t>
  </si>
  <si>
    <t>ESCRITORIO RECTA EN MADERA BASE METALICA</t>
  </si>
  <si>
    <t>102004</t>
  </si>
  <si>
    <t>ARCHIVADOR METALICO 2 PUERTAS</t>
  </si>
  <si>
    <t>102003</t>
  </si>
  <si>
    <t>ESCRITORIO DE 3 PUESTOS METALICO Y MADERA</t>
  </si>
  <si>
    <t>101992</t>
  </si>
  <si>
    <t>SUPERIOR RECTA ESCRITORIO</t>
  </si>
  <si>
    <t>101991</t>
  </si>
  <si>
    <t>MPS MAYORISTA DE COLOMBIA S.A.</t>
  </si>
  <si>
    <t>101979</t>
  </si>
  <si>
    <t>ARON S.A.S</t>
  </si>
  <si>
    <t>101978</t>
  </si>
  <si>
    <t>SISTEMA DE EXTRACCION HUMOS PE020</t>
  </si>
  <si>
    <t>101705</t>
  </si>
  <si>
    <t>GABINETE VARIAC  POWERSTAT</t>
  </si>
  <si>
    <t>101702</t>
  </si>
  <si>
    <t>BASCULA PARA CORTE HORNO</t>
  </si>
  <si>
    <t>101701</t>
  </si>
  <si>
    <t>COCINA INTEGRAL COMPRAS 3 P</t>
  </si>
  <si>
    <t>101700</t>
  </si>
  <si>
    <t>HORNO DE SECADO GAGKL-267-19 PE021</t>
  </si>
  <si>
    <t>101699</t>
  </si>
  <si>
    <t>MED RESISTENCIA AISLAMIENTO KIORITSU SN.W8334148</t>
  </si>
  <si>
    <t>101694</t>
  </si>
  <si>
    <t>TRAFO CAMPO PRUEBAS 50 KVA SN.57480120</t>
  </si>
  <si>
    <t>101693</t>
  </si>
  <si>
    <t>TRAFO CAMPO PRUEBAS 17 KVA SN.57490120</t>
  </si>
  <si>
    <t>101692</t>
  </si>
  <si>
    <t>COMPUTADOR MARCA LENOVO THINKPAD X1-CARBON</t>
  </si>
  <si>
    <t>101691</t>
  </si>
  <si>
    <t>COMPUTADOR MARCA DELL LATITUDE 3590 SERIE D2779S2</t>
  </si>
  <si>
    <t>101690</t>
  </si>
  <si>
    <t>MAQUINA ROSCADORA DE TUBERIA</t>
  </si>
  <si>
    <t>101689</t>
  </si>
  <si>
    <t>PLANTA GASOLINA ELITE</t>
  </si>
  <si>
    <t>101688</t>
  </si>
  <si>
    <t>COMPUTADOR MARCA ASUS MODELO X542UF-GQ484 SERIE JA</t>
  </si>
  <si>
    <t>101687</t>
  </si>
  <si>
    <t>ANALIZADOR RESPUESTA FRANEO 800 HV2301 SN.FJ523U</t>
  </si>
  <si>
    <t>101685</t>
  </si>
  <si>
    <t>COMPRESOR TORNILLO KAESER SK20 SIGMA GN071</t>
  </si>
  <si>
    <t>101684</t>
  </si>
  <si>
    <t>MAQUINA DE CORTE DE NUCLEO MTM 2 CN010</t>
  </si>
  <si>
    <t>101683</t>
  </si>
  <si>
    <t>101682</t>
  </si>
  <si>
    <t>AIRE ACONDICION.MINI SPLIT</t>
  </si>
  <si>
    <t>101681</t>
  </si>
  <si>
    <t>COMPUTADOR MARCA HP 250 G6 NOTEBOOK PC SERIE CND84</t>
  </si>
  <si>
    <t>101680</t>
  </si>
  <si>
    <t>101679</t>
  </si>
  <si>
    <t>101678</t>
  </si>
  <si>
    <t>COMPUTADOR PORTATIL COREI7 8A GENERACION 8GB RAM 1</t>
  </si>
  <si>
    <t>101675</t>
  </si>
  <si>
    <t>BISELADORA 601753620</t>
  </si>
  <si>
    <t>101674</t>
  </si>
  <si>
    <t>AIRE ACONDICIONADO P.2        1524ME0228</t>
  </si>
  <si>
    <t>101670</t>
  </si>
  <si>
    <t>PUENTEGRUA 2 TON. POLIPASTO PE008 EQUIPO 10132222</t>
  </si>
  <si>
    <t>101669</t>
  </si>
  <si>
    <t>PUENTE GRUA 2 TON HYUNDAI</t>
  </si>
  <si>
    <t>101668</t>
  </si>
  <si>
    <t>APILADOR ELECTRICO XI</t>
  </si>
  <si>
    <t>101667</t>
  </si>
  <si>
    <t>DISCO 1.8 TB SERVIDOR LENOVO SR 650</t>
  </si>
  <si>
    <t>101665</t>
  </si>
  <si>
    <t>CHISPOMETRO DPA 75 C ACCU BAUR HV 301</t>
  </si>
  <si>
    <t>101660</t>
  </si>
  <si>
    <t>PORTATIL ASUS CORE I7 8 DE RAM, SSD</t>
  </si>
  <si>
    <t>101659</t>
  </si>
  <si>
    <t>101658</t>
  </si>
  <si>
    <t>COMPUTADOR MARCA HP HP PRODESK 400G5 SFF SERIE MXL</t>
  </si>
  <si>
    <t>101657</t>
  </si>
  <si>
    <t>EXTRACTOR DE GASES TECHO CH083</t>
  </si>
  <si>
    <t>101652</t>
  </si>
  <si>
    <t>VACUOMETRO GAUGE</t>
  </si>
  <si>
    <t>101648</t>
  </si>
  <si>
    <t>COMPUTADOR PORTATIL COREI7 MARCA HP CON 8 GIGABYTE</t>
  </si>
  <si>
    <t>101647</t>
  </si>
  <si>
    <t>SW CISCO CATALYST 2960XR 48 PUERTOS</t>
  </si>
  <si>
    <t>101644</t>
  </si>
  <si>
    <t>SW 2960 X DE 48 PUERTOS CISCO</t>
  </si>
  <si>
    <t>101643</t>
  </si>
  <si>
    <t>CONTROLADORA CISCO PARA WIFI MODLO 3504</t>
  </si>
  <si>
    <t>101642</t>
  </si>
  <si>
    <t>ACCESS POINT WIRELESS CISCO</t>
  </si>
  <si>
    <t>101641</t>
  </si>
  <si>
    <t>101640</t>
  </si>
  <si>
    <t>101639</t>
  </si>
  <si>
    <t>ROUTER CISCO 4300 CONTROLADOR DE SEGURIDAD PERIMET</t>
  </si>
  <si>
    <t>101638</t>
  </si>
  <si>
    <t>NAS SINOLOGY DS1817+ SERVIDOR PARA BACKUPS</t>
  </si>
  <si>
    <t>101637</t>
  </si>
  <si>
    <t>SW 2960X DE 24 PUERTOS CISCO</t>
  </si>
  <si>
    <t>101636</t>
  </si>
  <si>
    <t>101635</t>
  </si>
  <si>
    <t>SW CISCO CATALYST 2960 X 24 PUERTOS</t>
  </si>
  <si>
    <t>101634</t>
  </si>
  <si>
    <t>SW CISCO CATALYST 2960XR 24 PUERTOS</t>
  </si>
  <si>
    <t>101633</t>
  </si>
  <si>
    <t>COMPUTADOR MARCA DELL OPTIPLEX SFF 3050 (LEASING)</t>
  </si>
  <si>
    <t>101630</t>
  </si>
  <si>
    <t>RACK PARA SWITCHES</t>
  </si>
  <si>
    <t>101629</t>
  </si>
  <si>
    <t>COMPUTADOR TIPO ESCRITORIO COREI7 16 RAM 1 TERABYT</t>
  </si>
  <si>
    <t>101628</t>
  </si>
  <si>
    <t>SERVIDOR DE TELEFONIA INTEL XEON 3.20 GHZ, MEMORIA</t>
  </si>
  <si>
    <t>101627</t>
  </si>
  <si>
    <t>SERVIDOR 2.40 GIGAHERTZ INTEL XEON 12 GIGAS</t>
  </si>
  <si>
    <t>101626</t>
  </si>
  <si>
    <t>101625</t>
  </si>
  <si>
    <t>101617</t>
  </si>
  <si>
    <t>101615</t>
  </si>
  <si>
    <t>101614</t>
  </si>
  <si>
    <t>101613</t>
  </si>
  <si>
    <t>101612</t>
  </si>
  <si>
    <t>AIRE ACONDICIONADO SALON CHAPISTERIA GN055</t>
  </si>
  <si>
    <t>101611</t>
  </si>
  <si>
    <t>AIRE ACONDICIONADO MARCA LG MODELO VM182C7</t>
  </si>
  <si>
    <t>101610</t>
  </si>
  <si>
    <t>COMPUTADOR HP ESCRITORIO COREI5 8 GB RAM, DD 1 TB</t>
  </si>
  <si>
    <t>101609</t>
  </si>
  <si>
    <t>ADECUACION CAMPO DE PRUEBAS</t>
  </si>
  <si>
    <t>101608</t>
  </si>
  <si>
    <t>GABINETE, MALLAS SEP. EQUPOS CONTROL ADECUACION PR</t>
  </si>
  <si>
    <t>CABINA DE PINTURA DE CULATAS REFERENCIA CH057</t>
  </si>
  <si>
    <t>101607</t>
  </si>
  <si>
    <t>HORNO DE CURADO DE PINTURA DE CULATAS REF. CH058</t>
  </si>
  <si>
    <t>101606</t>
  </si>
  <si>
    <t>HORNO DE CURADO PINTURA DE TANQUES REF. CH056</t>
  </si>
  <si>
    <t>101605</t>
  </si>
  <si>
    <t>SOLDADOR REFERENCIA MILLERMATIC 252</t>
  </si>
  <si>
    <t>101603</t>
  </si>
  <si>
    <t>SIERRA SIN FIN HORIZONTAL CH067 BS-712R</t>
  </si>
  <si>
    <t>101600</t>
  </si>
  <si>
    <t>SOLDADOR MILLER MIG XPS 450</t>
  </si>
  <si>
    <t>101599</t>
  </si>
  <si>
    <t>101598</t>
  </si>
  <si>
    <t>SOLDADOR MILLER MIG XPS 450 (CH048)</t>
  </si>
  <si>
    <t>101597</t>
  </si>
  <si>
    <t>REACTOR 3.55 MH 85 AMP 415 HZ HV158</t>
  </si>
  <si>
    <t>101596</t>
  </si>
  <si>
    <t>SOLDADOR INVERSOR MILLER REFERENCIA CST 280 CH068</t>
  </si>
  <si>
    <t>101595</t>
  </si>
  <si>
    <t>MEDIDOR RESISTENCIA DE AISLAMIENTO EBCHQ HV171</t>
  </si>
  <si>
    <t>101594</t>
  </si>
  <si>
    <t>CAPACITOR ACOPLAMIENTO SN:10025 CK-2-3-1</t>
  </si>
  <si>
    <t>101588</t>
  </si>
  <si>
    <t>TRANSFORMADOR DE MEDIDA SERIAL 77500113 DE 3.75 VA</t>
  </si>
  <si>
    <t>101587</t>
  </si>
  <si>
    <t>ESTIBADORA AMARILLA MARCA KTC (GN033)</t>
  </si>
  <si>
    <t>101586</t>
  </si>
  <si>
    <t>SOLDADOR MILLER MULTIPROCESO D-400</t>
  </si>
  <si>
    <t>101585</t>
  </si>
  <si>
    <t>MULTIMETRO FLUKE 289 TRUE RMS SN.24570186 HV 091</t>
  </si>
  <si>
    <t>101584</t>
  </si>
  <si>
    <t>101578</t>
  </si>
  <si>
    <t>BANCO DE TRANSFORMADORES PATRON HV1102-1101</t>
  </si>
  <si>
    <t>101561</t>
  </si>
  <si>
    <t>BATERIA MED. DESCARGAS PARCIALES HV2071 SN.HE251U</t>
  </si>
  <si>
    <t>101559</t>
  </si>
  <si>
    <t>PESA 10 TONELADAS MARCA LEXUS REFERENCIA ZC 6736</t>
  </si>
  <si>
    <t>101553</t>
  </si>
  <si>
    <t>COMPUTADOR HP ESCRITORIO COREI7 8 GB RAM, DD 1 TB</t>
  </si>
  <si>
    <t>101547</t>
  </si>
  <si>
    <t>SISTEMA DE AIRE ACONDIONADO MARCA LG TIPO INVERTER</t>
  </si>
  <si>
    <t>101546</t>
  </si>
  <si>
    <t>CIRCUITO CERRADO DE TELEVISION PARA 27 CAMARAS ANA</t>
  </si>
  <si>
    <t>101545</t>
  </si>
  <si>
    <t>COMPUTADOR MARCA DELL LATITUDE 3490 SERIE GG9LWS2</t>
  </si>
  <si>
    <t>101543</t>
  </si>
  <si>
    <t>COMPUTADOR MARCA HP SPECTRE 250 G6 NOTEBOOK PC SER</t>
  </si>
  <si>
    <t>101540</t>
  </si>
  <si>
    <t>CIRCUITO CERRADO DE TELEVISION PARA 18 CAMARAS NO</t>
  </si>
  <si>
    <t>101538</t>
  </si>
  <si>
    <t>COMPUTADOR MARCA DELL LATITUDE 5490 SERIE HH5QQQ2</t>
  </si>
  <si>
    <t>101535</t>
  </si>
  <si>
    <t>101534</t>
  </si>
  <si>
    <t>COMPUTADOR MARCA DELL LATITUDE 3490 SERIE JR5Z1W2</t>
  </si>
  <si>
    <t>101533</t>
  </si>
  <si>
    <t>101532</t>
  </si>
  <si>
    <t>COMPUTADOR MARCA DELL OPTIPLEX SFF 3050 SERIE 2SK8</t>
  </si>
  <si>
    <t>101531</t>
  </si>
  <si>
    <t>COMPUTADOR MARCA DELL OPTIPLEX SFF 3050 SERIE 2SX4</t>
  </si>
  <si>
    <t>101530</t>
  </si>
  <si>
    <t>COMPUTADOR TIPO ESCRITORIO HP PRODESK COREI5 8 DE</t>
  </si>
  <si>
    <t>101527</t>
  </si>
  <si>
    <t>101526</t>
  </si>
  <si>
    <t>SW HEWLETT PACKARD 1820 24 PUERTOS</t>
  </si>
  <si>
    <t>101525</t>
  </si>
  <si>
    <t>DWR HIK VISION PARA CAMARAS</t>
  </si>
  <si>
    <t>101524</t>
  </si>
  <si>
    <t>AIRE ACONDICIONADO MARCA LG (GN037)</t>
  </si>
  <si>
    <t>101523</t>
  </si>
  <si>
    <t>UPS APC SPORTE DE ENERGIA PARA SERVIDORES</t>
  </si>
  <si>
    <t>101522</t>
  </si>
  <si>
    <t>MED HUMEDAD Y PUNTO ROCIO VAISALA SN.P1430322</t>
  </si>
  <si>
    <t>101521</t>
  </si>
  <si>
    <t>SERVIDOR LENOVO SR 3650  PRINCIPAL</t>
  </si>
  <si>
    <t>101520</t>
  </si>
  <si>
    <t>RACK SERVIDOR DE DATOS PRINCIPAL</t>
  </si>
  <si>
    <t>101519</t>
  </si>
  <si>
    <t>AIRE ACONDICIONADO LG VM242C7 AL004</t>
  </si>
  <si>
    <t>101517</t>
  </si>
  <si>
    <t>BANCO DE CONDENSADORES DE 26 MICROFARADIOS</t>
  </si>
  <si>
    <t>101514</t>
  </si>
  <si>
    <t>BANCO CONDEN 20 MVA 69KV DISPROEL 26 MICROFARADIOS</t>
  </si>
  <si>
    <t>101510</t>
  </si>
  <si>
    <t>PUENTE GRUA 3 TONELADAS MARCA HYUNDAI GN022</t>
  </si>
  <si>
    <t>101509</t>
  </si>
  <si>
    <t>COMPUTADOR MARCA DELL LATITUDE 3490 SERIE 8GJLWS2</t>
  </si>
  <si>
    <t>101507</t>
  </si>
  <si>
    <t>ADICION AREA RESINA</t>
  </si>
  <si>
    <t>101506</t>
  </si>
  <si>
    <t>PUENTE GRUA 1 TONELADA POLIPASTO (PE 014) +ADICION</t>
  </si>
  <si>
    <t>101505</t>
  </si>
  <si>
    <t>HORNO DE CURADO RESINA PE009</t>
  </si>
  <si>
    <t>101504</t>
  </si>
  <si>
    <t>BOMBA DE VACIO SV200 (PE003)</t>
  </si>
  <si>
    <t>101501</t>
  </si>
  <si>
    <t>ESTIBADORA 3 TON AZUL (GN033)</t>
  </si>
  <si>
    <t>101500</t>
  </si>
  <si>
    <t>MALACATE PARA MOLDES 700 KG (PE019)</t>
  </si>
  <si>
    <t>101499</t>
  </si>
  <si>
    <t>BOBINADORA ALTA TENSION RESINA (PE011)</t>
  </si>
  <si>
    <t>101498</t>
  </si>
  <si>
    <t>SOLDADOR MARCA MILLER REFERENCIA CST 280 (BN020)</t>
  </si>
  <si>
    <t>101497</t>
  </si>
  <si>
    <t>RETROFITTING MAQUINA IMPREGNACION RESINA</t>
  </si>
  <si>
    <t>101496</t>
  </si>
  <si>
    <t>MOTOR 5.5HP 1800RPM 112B5 IE3</t>
  </si>
  <si>
    <t>RED. NMRV150 20/1 PAM160B5</t>
  </si>
  <si>
    <t>AUTOCLAVE PLANTA DE IMPREGNACION (PE006)</t>
  </si>
  <si>
    <t>ESTIBADORA AZUL MARCA HU-LIF  3000 KG</t>
  </si>
  <si>
    <t>101494</t>
  </si>
  <si>
    <t>BOBINADORA PREPARACION MANDRIL TRANSTECNO PE012</t>
  </si>
  <si>
    <t>101492</t>
  </si>
  <si>
    <t>SUB-ESTACION ELECTRICA DE 13.200 WATS MARCA MTG SE</t>
  </si>
  <si>
    <t>101491</t>
  </si>
  <si>
    <t>PLATAFORMA (PE007)</t>
  </si>
  <si>
    <t>101490</t>
  </si>
  <si>
    <t>ENRROLLADORA DE MALLA PARA BOBINAS</t>
  </si>
  <si>
    <t>101489</t>
  </si>
  <si>
    <t>CORTADORA MARCA MAKITA REFERENCIA JS3201 (PE018)</t>
  </si>
  <si>
    <t>101488</t>
  </si>
  <si>
    <t>SOLDADOR DE RESINA MARCA SOLTRONIC (PE015)</t>
  </si>
  <si>
    <t>101487</t>
  </si>
  <si>
    <t>SOLDADOR MARCA SOLTRONIC REF 0292274</t>
  </si>
  <si>
    <t>101486</t>
  </si>
  <si>
    <t>BOBINADORA DE BAJA TENSION DIGMOTOR (PE 010)</t>
  </si>
  <si>
    <t>101485</t>
  </si>
  <si>
    <t>PUENTE GRUA 500 KG</t>
  </si>
  <si>
    <t>101484</t>
  </si>
  <si>
    <t>ACTUALIZACION SISTEMA OPERATIVO MTM</t>
  </si>
  <si>
    <t>101483</t>
  </si>
  <si>
    <t>RETROFITTING MAQ CORTE NUCLEO MICRO TOOL</t>
  </si>
  <si>
    <t>MAQUINA DE CORTE DE NULEO MTM 1CN008</t>
  </si>
  <si>
    <t>ESTIBADORA AZUL MARCA HU-LIF  3000 KG SERIAL 16115</t>
  </si>
  <si>
    <t>101482</t>
  </si>
  <si>
    <t>COMPUTADOR MARCA DELL LATITUDE 3591 SERIE 51D99S2</t>
  </si>
  <si>
    <t>101481</t>
  </si>
  <si>
    <t>SISTEMA DE AIRE ACONDIONADO MARCA MCQUAY (GN862)</t>
  </si>
  <si>
    <t>101480</t>
  </si>
  <si>
    <t>EQUIPO DE AIRE ACONDICIONADO MARCA LG INVERTER V -</t>
  </si>
  <si>
    <t>101479</t>
  </si>
  <si>
    <t>SISTEMA DE AIRE ACONDIONADO MARCA MCQUAY (GN063)</t>
  </si>
  <si>
    <t>101478</t>
  </si>
  <si>
    <t>MONTACARGA DE 3 TONELADAS MARCA NISSAN REF MI05150</t>
  </si>
  <si>
    <t>101472</t>
  </si>
  <si>
    <t>BASCULA DIGITAL 20 TONELADAS MARCA LEXUS - REF FOX</t>
  </si>
  <si>
    <t>101470</t>
  </si>
  <si>
    <t>PUENTE GRUA 20 TONELADAS MARCA HYUNDAI (GN017)</t>
  </si>
  <si>
    <t>101468</t>
  </si>
  <si>
    <t>CONSOLA DE IMPULSO SERIE HV 2013 - OJO 01728 EQUIP</t>
  </si>
  <si>
    <t>101467</t>
  </si>
  <si>
    <t>ULTRAMAX II 695 PRO AIRLESS</t>
  </si>
  <si>
    <t>101466</t>
  </si>
  <si>
    <t>DOBLADORA HIDRAULICA (EN079)</t>
  </si>
  <si>
    <t>101465</t>
  </si>
  <si>
    <t>101464</t>
  </si>
  <si>
    <t>Centro de costo</t>
  </si>
  <si>
    <t>Descapitalización el</t>
  </si>
  <si>
    <t>Clase activos fijos</t>
  </si>
  <si>
    <t>Sociedad</t>
  </si>
  <si>
    <t>Moneda</t>
  </si>
  <si>
    <t>Val.cont.</t>
  </si>
  <si>
    <t>Amo acum.</t>
  </si>
  <si>
    <t>Val.adq.</t>
  </si>
  <si>
    <t>Capitalizado el</t>
  </si>
  <si>
    <t>Denominación del activo fijo</t>
  </si>
  <si>
    <t>Subnúmero</t>
  </si>
  <si>
    <t>Activo fijo</t>
  </si>
  <si>
    <t>Nombre</t>
  </si>
  <si>
    <t>Centro de beneficio</t>
  </si>
  <si>
    <t>Seccion</t>
  </si>
  <si>
    <t>Mantenimiento</t>
  </si>
  <si>
    <t>Pruebas</t>
  </si>
  <si>
    <t>Almacén</t>
  </si>
  <si>
    <t>Processos</t>
  </si>
  <si>
    <t>Calidad</t>
  </si>
  <si>
    <t>Ensamble Parte Activa &gt;300 KVA</t>
  </si>
  <si>
    <t>Preparación e Pintura Soldadura</t>
  </si>
  <si>
    <t>Laboratório Aceite, Encapasuldo y Seco &gt;300 kVA</t>
  </si>
  <si>
    <t>Encubado</t>
  </si>
  <si>
    <t>Compras</t>
  </si>
  <si>
    <t>Corte Silicio</t>
  </si>
  <si>
    <t>Devanados Encapsulados</t>
  </si>
  <si>
    <t>Devanados Seco DT, MF y MDF</t>
  </si>
  <si>
    <t>Preparación Encapsulados</t>
  </si>
  <si>
    <t>Esamble Tanques</t>
  </si>
  <si>
    <t>Servicios en Sitio</t>
  </si>
  <si>
    <t>Tratamiento Térmico</t>
  </si>
  <si>
    <t>TI</t>
  </si>
  <si>
    <t>Esamble Seco y Distribuicíon Aceite &lt;=300 kVA</t>
  </si>
  <si>
    <t>Tratamiento de Aceite</t>
  </si>
  <si>
    <t>Preparación de Aislamento</t>
  </si>
  <si>
    <t>Planificación de la Producción y Control</t>
  </si>
  <si>
    <t>Diseno Transformadores Especiales y Potencia</t>
  </si>
  <si>
    <t>Diseno Mecanico</t>
  </si>
  <si>
    <t xml:space="preserve">Recursos Humanos </t>
  </si>
  <si>
    <t>GER. GENERAL WCO-WTD</t>
  </si>
  <si>
    <t>GER. PRODUCCIÓN</t>
  </si>
  <si>
    <t>Servicio Médico, Seguridad y Higiene</t>
  </si>
  <si>
    <t>Contabilidad y Costos</t>
  </si>
  <si>
    <t>Marketing</t>
  </si>
  <si>
    <t>Ventas Oil &amp; Gas</t>
  </si>
  <si>
    <t>Ventas Occidente</t>
  </si>
  <si>
    <t>Ventas Centro</t>
  </si>
  <si>
    <t>Ventas Norte</t>
  </si>
  <si>
    <t>Assistencia Técnica</t>
  </si>
  <si>
    <t>Administracion de Contractos</t>
  </si>
  <si>
    <t>GER. TECNICO</t>
  </si>
  <si>
    <t>Diseno Transformadores Secos y Aceite</t>
  </si>
  <si>
    <t>GER. VENTAS</t>
  </si>
  <si>
    <t>Enhuacalado</t>
  </si>
  <si>
    <t>Ventas Solar</t>
  </si>
  <si>
    <t>GER. ENGENIERÍA INDUSTRIAL</t>
  </si>
  <si>
    <t>Activo</t>
  </si>
  <si>
    <t>Etiqueta</t>
  </si>
  <si>
    <t>Administracion_WTC</t>
  </si>
  <si>
    <t>Almacén_WTC</t>
  </si>
  <si>
    <t>Calidad_WTC</t>
  </si>
  <si>
    <t>Chapisteria_WTC</t>
  </si>
  <si>
    <t>Mantenimiento_WTC</t>
  </si>
  <si>
    <t>PCP_WTC</t>
  </si>
  <si>
    <t>Processos_WTC</t>
  </si>
  <si>
    <t>Pruebas_WTC</t>
  </si>
  <si>
    <t>Servicios_WTC</t>
  </si>
  <si>
    <t>Tecnicos_WTC</t>
  </si>
  <si>
    <t>Ventas - Trans&amp;Distr - Sabaneta_WTC</t>
  </si>
  <si>
    <t>Ventas - WDS - Cota_WTC</t>
  </si>
  <si>
    <t xml:space="preserve">Ubicación en nueva planta. </t>
  </si>
  <si>
    <t>Ejemplo bodega 1</t>
  </si>
  <si>
    <t>Ejemplo tercer piso administracion</t>
  </si>
  <si>
    <t>Se traslada</t>
  </si>
  <si>
    <t>Si</t>
  </si>
  <si>
    <t>No</t>
  </si>
  <si>
    <t>X</t>
  </si>
  <si>
    <t>Si se traslada. Poner ubicación en WCT</t>
  </si>
  <si>
    <t>Observacion</t>
  </si>
  <si>
    <t>No se etiqueta</t>
  </si>
  <si>
    <t>Resina_WTC</t>
  </si>
  <si>
    <t>Prepacion encap_WTC</t>
  </si>
  <si>
    <t>B1, N4_WTC</t>
  </si>
  <si>
    <t>B1, N3_WTC</t>
  </si>
  <si>
    <t>B1, N1_WTC</t>
  </si>
  <si>
    <t>B1, N2, ST_WTC</t>
  </si>
  <si>
    <t>B2, N1_WTC</t>
  </si>
  <si>
    <t>B1_WTC</t>
  </si>
  <si>
    <t>Dar de baja</t>
  </si>
  <si>
    <t>B2, N2_WTC</t>
  </si>
  <si>
    <t>B1, N2_WTC</t>
  </si>
  <si>
    <t>B5, N2_WTC</t>
  </si>
  <si>
    <t>B5, N1_WTC</t>
  </si>
  <si>
    <t>B5_WTC</t>
  </si>
  <si>
    <t>B4, N2_WTC</t>
  </si>
  <si>
    <t>B2, N2, M4_WTC</t>
  </si>
  <si>
    <t>B2_WTC</t>
  </si>
  <si>
    <t>SST_WTC</t>
  </si>
  <si>
    <t>B6_WTC</t>
  </si>
  <si>
    <t>B2, N1, M4_WTC</t>
  </si>
  <si>
    <t>B1, N2, M2_WTC</t>
  </si>
  <si>
    <t>B4, N1_WTC</t>
  </si>
  <si>
    <t>Se debe dar de baja</t>
  </si>
  <si>
    <t>BAJA</t>
  </si>
  <si>
    <t>B4_WTC</t>
  </si>
  <si>
    <t>B5,N1_WTC</t>
  </si>
  <si>
    <t>HERRAMIENTAS MANUAL</t>
  </si>
  <si>
    <t>B2, N2, M3_WTC</t>
  </si>
  <si>
    <t>B1, N1 M1_WTC</t>
  </si>
  <si>
    <t>B4,N2_WTC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</si>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</sst>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2" fillId="3" borderId="0" xfId="0" applyFont="1" applyFill="1" applyAlignment="1">
      <alignment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0" fillId="2" borderId="2" xfId="0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4" borderId="0" xfId="0" applyFill="1"/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2" borderId="2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64" fontId="0" fillId="0" borderId="0" xfId="1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7" borderId="0" xfId="0" applyFill="1" applyAlignment="1">
      <alignment vertical="top"/>
    </xf>
    <xf numFmtId="49" fontId="0" fillId="0" borderId="0" xfId="0" applyNumberFormat="1" applyAlignment="1">
      <alignment vertical="top"/>
    </xf>
    <xf numFmtId="0" fontId="0" fillId="8" borderId="0" xfId="0" applyFill="1"/>
    <xf numFmtId="0" fontId="0" fillId="8" borderId="0" xfId="0" applyFill="1" applyAlignment="1">
      <alignment vertical="top"/>
    </xf>
    <xf numFmtId="0" fontId="0" fillId="0" borderId="0" xfId="0" pivotButton="1"/>
    <xf numFmtId="49" fontId="0" fillId="0" borderId="0" xfId="0" applyNumberFormat="1"/>
  </cellXfs>
  <cellStyles count="2">
    <cellStyle name="Millares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69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66673</xdr:rowOff>
    </xdr:from>
    <xdr:to>
      <xdr:col>2</xdr:col>
      <xdr:colOff>380775</xdr:colOff>
      <xdr:row>4</xdr:row>
      <xdr:rowOff>185623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7485869D-051F-5232-9E0C-A751DE64BAD8}"/>
            </a:ext>
          </a:extLst>
        </xdr:cNvPr>
        <xdr:cNvGrpSpPr/>
      </xdr:nvGrpSpPr>
      <xdr:grpSpPr>
        <a:xfrm>
          <a:off x="101600" y="69848"/>
          <a:ext cx="1803175" cy="855550"/>
          <a:chOff x="180975" y="66674"/>
          <a:chExt cx="1838101" cy="748578"/>
        </a:xfrm>
      </xdr:grpSpPr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A3561ADB-01D2-785E-D69C-7CB63D949C39}"/>
              </a:ext>
            </a:extLst>
          </xdr:cNvPr>
          <xdr:cNvGrpSpPr/>
        </xdr:nvGrpSpPr>
        <xdr:grpSpPr>
          <a:xfrm>
            <a:off x="180975" y="76200"/>
            <a:ext cx="1838101" cy="739052"/>
            <a:chOff x="167713" y="101573"/>
            <a:chExt cx="2937439" cy="987480"/>
          </a:xfrm>
        </xdr:grpSpPr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A21EBEA7-4D98-D02F-4BBA-4105AD32C4BA}"/>
                </a:ext>
              </a:extLst>
            </xdr:cNvPr>
            <xdr:cNvSpPr/>
          </xdr:nvSpPr>
          <xdr:spPr>
            <a:xfrm>
              <a:off x="167713" y="101573"/>
              <a:ext cx="2937439" cy="98748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F9335881-25C2-06C0-7A52-C0A2DA24E5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">
          <xdr:nvSpPr>
            <xdr:cNvPr id="5" name="Rectángulo 4">
              <a:extLst>
                <a:ext uri="{FF2B5EF4-FFF2-40B4-BE49-F238E27FC236}">
                  <a16:creationId xmlns:a16="http://schemas.microsoft.com/office/drawing/2014/main" id="{68062AEE-FB7E-0E00-E8BB-D585B36F7889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04733E8-A60C-434E-9E38-83D9337BA3EA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103015</a:t>
              </a:fld>
              <a:endParaRPr lang="pt-BR" sz="1000" b="1"/>
            </a:p>
          </xdr:txBody>
        </xdr:sp>
        <xdr:sp macro="" textlink="K2">
          <xdr:nvSpPr>
            <xdr:cNvPr id="6" name="Rectángulo 5">
              <a:extLst>
                <a:ext uri="{FF2B5EF4-FFF2-40B4-BE49-F238E27FC236}">
                  <a16:creationId xmlns:a16="http://schemas.microsoft.com/office/drawing/2014/main" id="{7EB5C232-A772-4950-5F9A-C4D74BDAE485}"/>
                </a:ext>
              </a:extLst>
            </xdr:cNvPr>
            <xdr:cNvSpPr/>
          </xdr:nvSpPr>
          <xdr:spPr>
            <a:xfrm>
              <a:off x="228602" y="628649"/>
              <a:ext cx="2876550" cy="4476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BAEF4F2-BBB0-458C-A513-E5E6D97AB20B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SACABOCADO  MILWAUKEE M18 LOGIC 10T</a:t>
              </a:fld>
              <a:endParaRPr lang="pt-BR" sz="400"/>
            </a:p>
          </xdr:txBody>
        </xdr:sp>
      </xdr:grpSp>
      <xdr:sp macro="" textlink="L2">
        <xdr:nvSpPr>
          <xdr:cNvPr id="18" name="Rectángulo 17">
            <a:extLst>
              <a:ext uri="{FF2B5EF4-FFF2-40B4-BE49-F238E27FC236}">
                <a16:creationId xmlns:a16="http://schemas.microsoft.com/office/drawing/2014/main" id="{83DECE1C-D5FC-40C0-B901-49012E8CBEC6}"/>
              </a:ext>
            </a:extLst>
          </xdr:cNvPr>
          <xdr:cNvSpPr/>
        </xdr:nvSpPr>
        <xdr:spPr>
          <a:xfrm>
            <a:off x="657225" y="66674"/>
            <a:ext cx="1333500" cy="257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8B982E6-4DC2-40BE-83D0-04C7BE37459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 M1_WTC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85725</xdr:colOff>
      <xdr:row>5</xdr:row>
      <xdr:rowOff>104774</xdr:rowOff>
    </xdr:from>
    <xdr:to>
      <xdr:col>2</xdr:col>
      <xdr:colOff>361725</xdr:colOff>
      <xdr:row>10</xdr:row>
      <xdr:rowOff>52274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574F12B4-211F-49BA-9AD1-5B6799A058BA}"/>
            </a:ext>
          </a:extLst>
        </xdr:cNvPr>
        <xdr:cNvGrpSpPr/>
      </xdr:nvGrpSpPr>
      <xdr:grpSpPr>
        <a:xfrm>
          <a:off x="82550" y="1031874"/>
          <a:ext cx="1803175" cy="846025"/>
          <a:chOff x="180975" y="76199"/>
          <a:chExt cx="1838101" cy="900000"/>
        </a:xfrm>
      </xdr:grpSpPr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12A69DB5-24AA-4D49-7D0C-1313B8412CC9}"/>
              </a:ext>
            </a:extLst>
          </xdr:cNvPr>
          <xdr:cNvGrpSpPr/>
        </xdr:nvGrpSpPr>
        <xdr:grpSpPr>
          <a:xfrm>
            <a:off x="180975" y="76199"/>
            <a:ext cx="1838101" cy="900000"/>
            <a:chOff x="167713" y="101572"/>
            <a:chExt cx="2937439" cy="1202530"/>
          </a:xfrm>
        </xdr:grpSpPr>
        <xdr:sp macro="" textlink="">
          <xdr:nvSpPr>
            <xdr:cNvPr id="23" name="Rectángulo 22">
              <a:extLst>
                <a:ext uri="{FF2B5EF4-FFF2-40B4-BE49-F238E27FC236}">
                  <a16:creationId xmlns:a16="http://schemas.microsoft.com/office/drawing/2014/main" id="{4EF1BD02-B5B3-A827-EC22-AD9916B5EEE0}"/>
                </a:ext>
              </a:extLst>
            </xdr:cNvPr>
            <xdr:cNvSpPr/>
          </xdr:nvSpPr>
          <xdr:spPr>
            <a:xfrm>
              <a:off x="167713" y="101572"/>
              <a:ext cx="2937439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Administracion</a:t>
              </a:r>
            </a:p>
          </xdr:txBody>
        </xdr:sp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DBD08CC6-9D2B-0A83-53F0-783C0D4D57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</xdr:pic>
        <xdr:sp macro="" textlink="J3">
          <xdr:nvSpPr>
            <xdr:cNvPr id="25" name="Rectángulo 24">
              <a:extLst>
                <a:ext uri="{FF2B5EF4-FFF2-40B4-BE49-F238E27FC236}">
                  <a16:creationId xmlns:a16="http://schemas.microsoft.com/office/drawing/2014/main" id="{5F013B7C-9EAB-CE33-5D25-55CD939EBD82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246105C0-8309-46D6-9976-8154528836A3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101483</a:t>
              </a:fld>
              <a:endParaRPr lang="pt-BR" sz="1000" b="1"/>
            </a:p>
          </xdr:txBody>
        </xdr:sp>
        <xdr:sp macro="" textlink="K3">
          <xdr:nvSpPr>
            <xdr:cNvPr id="26" name="Rectángulo 25">
              <a:extLst>
                <a:ext uri="{FF2B5EF4-FFF2-40B4-BE49-F238E27FC236}">
                  <a16:creationId xmlns:a16="http://schemas.microsoft.com/office/drawing/2014/main" id="{F5C69BE6-15D1-F870-553E-A04BC0B3C6EB}"/>
                </a:ext>
              </a:extLst>
            </xdr:cNvPr>
            <xdr:cNvSpPr/>
          </xdr:nvSpPr>
          <xdr:spPr>
            <a:xfrm>
              <a:off x="167715" y="628649"/>
              <a:ext cx="2937437" cy="6565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F0E75B2-1EC1-4647-A8F8-0787612CB96F}" type="TxLink">
                <a:rPr lang="en-US" sz="8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MAQUINA DE CORTE DE NULEO MTM 1CN008</a:t>
              </a:fld>
              <a:endParaRPr lang="pt-BR" sz="100"/>
            </a:p>
          </xdr:txBody>
        </xdr:sp>
      </xdr:grpSp>
      <xdr:sp macro="" textlink="L3">
        <xdr:nvSpPr>
          <xdr:cNvPr id="22" name="Rectángulo 21">
            <a:extLst>
              <a:ext uri="{FF2B5EF4-FFF2-40B4-BE49-F238E27FC236}">
                <a16:creationId xmlns:a16="http://schemas.microsoft.com/office/drawing/2014/main" id="{70876D29-2BCD-1694-28D3-F7132DE89C1C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A19B6E3-8223-44EF-9057-198B8BD07B2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76197</xdr:colOff>
      <xdr:row>10</xdr:row>
      <xdr:rowOff>104774</xdr:rowOff>
    </xdr:from>
    <xdr:to>
      <xdr:col>2</xdr:col>
      <xdr:colOff>352198</xdr:colOff>
      <xdr:row>15</xdr:row>
      <xdr:rowOff>52274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DA3094E9-8723-4AB9-BB6F-ABB131FEA9A9}"/>
            </a:ext>
          </a:extLst>
        </xdr:cNvPr>
        <xdr:cNvGrpSpPr/>
      </xdr:nvGrpSpPr>
      <xdr:grpSpPr>
        <a:xfrm>
          <a:off x="76197" y="1936749"/>
          <a:ext cx="1803176" cy="846025"/>
          <a:chOff x="180972" y="76199"/>
          <a:chExt cx="1838104" cy="900000"/>
        </a:xfrm>
      </xdr:grpSpPr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E6323A3D-F048-311B-8CFA-77222603B3B6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30" name="Rectángulo 29">
              <a:extLst>
                <a:ext uri="{FF2B5EF4-FFF2-40B4-BE49-F238E27FC236}">
                  <a16:creationId xmlns:a16="http://schemas.microsoft.com/office/drawing/2014/main" id="{D9E45F29-30D3-3BAA-4CEF-3094744A3325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31" name="Imagen 30">
              <a:extLst>
                <a:ext uri="{FF2B5EF4-FFF2-40B4-BE49-F238E27FC236}">
                  <a16:creationId xmlns:a16="http://schemas.microsoft.com/office/drawing/2014/main" id="{28FA453D-96D0-DBAE-A0EA-55FB96186B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4">
          <xdr:nvSpPr>
            <xdr:cNvPr id="32" name="Rectángulo 31">
              <a:extLst>
                <a:ext uri="{FF2B5EF4-FFF2-40B4-BE49-F238E27FC236}">
                  <a16:creationId xmlns:a16="http://schemas.microsoft.com/office/drawing/2014/main" id="{9FC6B199-53AC-1E68-8FBA-8E4B6400C509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BF6D5AD-1E38-4423-AB01-CC1639E7D23A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101498</a:t>
              </a:fld>
              <a:endParaRPr lang="pt-BR" sz="1000" b="1"/>
            </a:p>
          </xdr:txBody>
        </xdr:sp>
        <xdr:sp macro="" textlink="K4">
          <xdr:nvSpPr>
            <xdr:cNvPr id="33" name="Rectángulo 32">
              <a:extLst>
                <a:ext uri="{FF2B5EF4-FFF2-40B4-BE49-F238E27FC236}">
                  <a16:creationId xmlns:a16="http://schemas.microsoft.com/office/drawing/2014/main" id="{1BACC63D-74D8-5DCB-A4D1-72A4FDAB7B36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ABF912AB-07CC-4F7D-8EDA-95BC4ECE0B1B}" type="TxLink">
                <a:rPr lang="en-US" sz="8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BOBINADORA ALTA TENSION RESINA (PE011)</a:t>
              </a:fld>
              <a:endParaRPr lang="pt-BR" sz="800"/>
            </a:p>
          </xdr:txBody>
        </xdr:sp>
      </xdr:grpSp>
      <xdr:sp macro="" textlink="L4">
        <xdr:nvSpPr>
          <xdr:cNvPr id="29" name="Rectángulo 28">
            <a:extLst>
              <a:ext uri="{FF2B5EF4-FFF2-40B4-BE49-F238E27FC236}">
                <a16:creationId xmlns:a16="http://schemas.microsoft.com/office/drawing/2014/main" id="{B85A94AC-E5A4-316E-4721-76BD2DD5885B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47A299E-31B9-4A81-93F7-2FEC6D4D271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57149</xdr:colOff>
      <xdr:row>15</xdr:row>
      <xdr:rowOff>161925</xdr:rowOff>
    </xdr:from>
    <xdr:to>
      <xdr:col>2</xdr:col>
      <xdr:colOff>333150</xdr:colOff>
      <xdr:row>20</xdr:row>
      <xdr:rowOff>109425</xdr:rowOff>
    </xdr:to>
    <xdr:grpSp>
      <xdr:nvGrpSpPr>
        <xdr:cNvPr id="91" name="Grupo 90">
          <a:extLst>
            <a:ext uri="{FF2B5EF4-FFF2-40B4-BE49-F238E27FC236}">
              <a16:creationId xmlns:a16="http://schemas.microsoft.com/office/drawing/2014/main" id="{FA53BBAA-1FEA-4C79-AD09-3F595B8F834B}"/>
            </a:ext>
          </a:extLst>
        </xdr:cNvPr>
        <xdr:cNvGrpSpPr/>
      </xdr:nvGrpSpPr>
      <xdr:grpSpPr>
        <a:xfrm>
          <a:off x="57149" y="2892425"/>
          <a:ext cx="1803176" cy="852375"/>
          <a:chOff x="180972" y="76199"/>
          <a:chExt cx="1838104" cy="900000"/>
        </a:xfrm>
      </xdr:grpSpPr>
      <xdr:grpSp>
        <xdr:nvGrpSpPr>
          <xdr:cNvPr id="92" name="Grupo 91">
            <a:extLst>
              <a:ext uri="{FF2B5EF4-FFF2-40B4-BE49-F238E27FC236}">
                <a16:creationId xmlns:a16="http://schemas.microsoft.com/office/drawing/2014/main" id="{A632FBA7-BB0D-8648-E0E6-11261A6AAB45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94" name="Rectángulo 93">
              <a:extLst>
                <a:ext uri="{FF2B5EF4-FFF2-40B4-BE49-F238E27FC236}">
                  <a16:creationId xmlns:a16="http://schemas.microsoft.com/office/drawing/2014/main" id="{F9855670-1C87-5C3C-71AD-DA226A677198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95" name="Imagen 94">
              <a:extLst>
                <a:ext uri="{FF2B5EF4-FFF2-40B4-BE49-F238E27FC236}">
                  <a16:creationId xmlns:a16="http://schemas.microsoft.com/office/drawing/2014/main" id="{555A720E-D4EA-0A12-8B45-A584FE71DC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5">
          <xdr:nvSpPr>
            <xdr:cNvPr id="96" name="Rectángulo 95">
              <a:extLst>
                <a:ext uri="{FF2B5EF4-FFF2-40B4-BE49-F238E27FC236}">
                  <a16:creationId xmlns:a16="http://schemas.microsoft.com/office/drawing/2014/main" id="{2862B55A-0540-F6D8-6D14-99778F35DF4C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B45C5AFB-3230-4C44-A6B3-127F9D0F3700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101683</a:t>
              </a:fld>
              <a:endParaRPr lang="pt-BR" sz="1000" b="1"/>
            </a:p>
          </xdr:txBody>
        </xdr:sp>
        <xdr:sp macro="" textlink="K5">
          <xdr:nvSpPr>
            <xdr:cNvPr id="97" name="Rectángulo 96">
              <a:extLst>
                <a:ext uri="{FF2B5EF4-FFF2-40B4-BE49-F238E27FC236}">
                  <a16:creationId xmlns:a16="http://schemas.microsoft.com/office/drawing/2014/main" id="{0FF500C0-22AC-4E4A-C3D8-F434C6296A93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98623B0-D1A4-4AEC-B521-8B5542B5AC2B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MAQUINA DE CORTE DE NUCLEO MTM 2 CN010</a:t>
              </a:fld>
              <a:endParaRPr lang="pt-BR" sz="100"/>
            </a:p>
          </xdr:txBody>
        </xdr:sp>
      </xdr:grpSp>
      <xdr:sp macro="" textlink="L5">
        <xdr:nvSpPr>
          <xdr:cNvPr id="93" name="Rectángulo 92">
            <a:extLst>
              <a:ext uri="{FF2B5EF4-FFF2-40B4-BE49-F238E27FC236}">
                <a16:creationId xmlns:a16="http://schemas.microsoft.com/office/drawing/2014/main" id="{7937E257-1401-0D87-78A5-6026E21EC50B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AB4394B-54AF-484D-BF2E-F2741633B24B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66674</xdr:colOff>
      <xdr:row>21</xdr:row>
      <xdr:rowOff>0</xdr:rowOff>
    </xdr:from>
    <xdr:to>
      <xdr:col>2</xdr:col>
      <xdr:colOff>342675</xdr:colOff>
      <xdr:row>25</xdr:row>
      <xdr:rowOff>138000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FBFF1F28-C374-4DD7-960E-52FB6A1C6400}"/>
            </a:ext>
          </a:extLst>
        </xdr:cNvPr>
        <xdr:cNvGrpSpPr/>
      </xdr:nvGrpSpPr>
      <xdr:grpSpPr>
        <a:xfrm>
          <a:off x="69849" y="3819525"/>
          <a:ext cx="1796826" cy="865075"/>
          <a:chOff x="180972" y="76199"/>
          <a:chExt cx="1838104" cy="900000"/>
        </a:xfrm>
      </xdr:grpSpPr>
      <xdr:grpSp>
        <xdr:nvGrpSpPr>
          <xdr:cNvPr id="99" name="Grupo 98">
            <a:extLst>
              <a:ext uri="{FF2B5EF4-FFF2-40B4-BE49-F238E27FC236}">
                <a16:creationId xmlns:a16="http://schemas.microsoft.com/office/drawing/2014/main" id="{81C55185-2D01-5B4E-019F-512F3EA0EF06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101" name="Rectángulo 100">
              <a:extLst>
                <a:ext uri="{FF2B5EF4-FFF2-40B4-BE49-F238E27FC236}">
                  <a16:creationId xmlns:a16="http://schemas.microsoft.com/office/drawing/2014/main" id="{1D774313-21F1-BC49-CBD7-8F9EEF447FDC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02" name="Imagen 101">
              <a:extLst>
                <a:ext uri="{FF2B5EF4-FFF2-40B4-BE49-F238E27FC236}">
                  <a16:creationId xmlns:a16="http://schemas.microsoft.com/office/drawing/2014/main" id="{AD2F7FDA-FF2C-1AFF-EAF9-C6FD83BCCB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</xdr:pic>
        <xdr:sp macro="" textlink="J6">
          <xdr:nvSpPr>
            <xdr:cNvPr id="103" name="Rectángulo 102">
              <a:extLst>
                <a:ext uri="{FF2B5EF4-FFF2-40B4-BE49-F238E27FC236}">
                  <a16:creationId xmlns:a16="http://schemas.microsoft.com/office/drawing/2014/main" id="{3546C163-84A7-7CBA-797B-E2BC37230ECA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4DD14AF-DC06-4329-AAD8-508794C8FF05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101689</a:t>
              </a:fld>
              <a:endParaRPr lang="pt-BR" sz="1000" b="1"/>
            </a:p>
          </xdr:txBody>
        </xdr:sp>
        <xdr:sp macro="" textlink="K6">
          <xdr:nvSpPr>
            <xdr:cNvPr id="104" name="Rectángulo 103">
              <a:extLst>
                <a:ext uri="{FF2B5EF4-FFF2-40B4-BE49-F238E27FC236}">
                  <a16:creationId xmlns:a16="http://schemas.microsoft.com/office/drawing/2014/main" id="{B8C774DC-50A2-51A2-0FE0-996BB1C523FD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D5F5D04-E3F6-4746-B492-ADD1EA5D5D8C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MAQUINA ROSCADORA DE TUBERIA</a:t>
              </a:fld>
              <a:endParaRPr lang="pt-BR" sz="100"/>
            </a:p>
          </xdr:txBody>
        </xdr:sp>
      </xdr:grpSp>
      <xdr:sp macro="" textlink="L6">
        <xdr:nvSpPr>
          <xdr:cNvPr id="100" name="Rectángulo 99">
            <a:extLst>
              <a:ext uri="{FF2B5EF4-FFF2-40B4-BE49-F238E27FC236}">
                <a16:creationId xmlns:a16="http://schemas.microsoft.com/office/drawing/2014/main" id="{17B7EB32-BD51-1137-3D24-0C585B909A22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A749073-C618-44B1-805B-AC7F4315F4C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57149</xdr:colOff>
      <xdr:row>25</xdr:row>
      <xdr:rowOff>180976</xdr:rowOff>
    </xdr:from>
    <xdr:to>
      <xdr:col>2</xdr:col>
      <xdr:colOff>333150</xdr:colOff>
      <xdr:row>30</xdr:row>
      <xdr:rowOff>128476</xdr:rowOff>
    </xdr:to>
    <xdr:grpSp>
      <xdr:nvGrpSpPr>
        <xdr:cNvPr id="105" name="Grupo 104">
          <a:extLst>
            <a:ext uri="{FF2B5EF4-FFF2-40B4-BE49-F238E27FC236}">
              <a16:creationId xmlns:a16="http://schemas.microsoft.com/office/drawing/2014/main" id="{6F8F240F-2F50-43A5-8AB2-FE866622E7C8}"/>
            </a:ext>
          </a:extLst>
        </xdr:cNvPr>
        <xdr:cNvGrpSpPr/>
      </xdr:nvGrpSpPr>
      <xdr:grpSpPr>
        <a:xfrm>
          <a:off x="57149" y="4721226"/>
          <a:ext cx="1803176" cy="852375"/>
          <a:chOff x="180972" y="76199"/>
          <a:chExt cx="1838104" cy="900000"/>
        </a:xfrm>
      </xdr:grpSpPr>
      <xdr:grpSp>
        <xdr:nvGrpSpPr>
          <xdr:cNvPr id="106" name="Grupo 105">
            <a:extLst>
              <a:ext uri="{FF2B5EF4-FFF2-40B4-BE49-F238E27FC236}">
                <a16:creationId xmlns:a16="http://schemas.microsoft.com/office/drawing/2014/main" id="{6289BF6A-518A-56D3-B898-8D15B058FAF2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108" name="Rectángulo 107">
              <a:extLst>
                <a:ext uri="{FF2B5EF4-FFF2-40B4-BE49-F238E27FC236}">
                  <a16:creationId xmlns:a16="http://schemas.microsoft.com/office/drawing/2014/main" id="{23FD1743-372E-DC40-A265-EAC90ECF474B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09" name="Imagen 108">
              <a:extLst>
                <a:ext uri="{FF2B5EF4-FFF2-40B4-BE49-F238E27FC236}">
                  <a16:creationId xmlns:a16="http://schemas.microsoft.com/office/drawing/2014/main" id="{455D0751-E6B8-AA02-0D7F-B2849342C3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7">
          <xdr:nvSpPr>
            <xdr:cNvPr id="110" name="Rectángulo 109">
              <a:extLst>
                <a:ext uri="{FF2B5EF4-FFF2-40B4-BE49-F238E27FC236}">
                  <a16:creationId xmlns:a16="http://schemas.microsoft.com/office/drawing/2014/main" id="{AAFDC068-8048-0636-3ACE-7A72675C7A9C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E16B46A-2EB2-48E3-855C-4FB4E76E8105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101701</a:t>
              </a:fld>
              <a:endParaRPr lang="pt-BR" sz="1000" b="1"/>
            </a:p>
          </xdr:txBody>
        </xdr:sp>
        <xdr:sp macro="" textlink="K7">
          <xdr:nvSpPr>
            <xdr:cNvPr id="111" name="Rectángulo 110">
              <a:extLst>
                <a:ext uri="{FF2B5EF4-FFF2-40B4-BE49-F238E27FC236}">
                  <a16:creationId xmlns:a16="http://schemas.microsoft.com/office/drawing/2014/main" id="{9E6AAF6E-5FE5-87E7-AB01-B106D41EE94A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2BD68345-706A-4A70-B255-EA257CEE686B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BASCULA PARA CORTE HORNO</a:t>
              </a:fld>
              <a:endParaRPr lang="pt-BR" sz="100"/>
            </a:p>
          </xdr:txBody>
        </xdr:sp>
      </xdr:grpSp>
      <xdr:sp macro="" textlink="L7">
        <xdr:nvSpPr>
          <xdr:cNvPr id="107" name="Rectángulo 106">
            <a:extLst>
              <a:ext uri="{FF2B5EF4-FFF2-40B4-BE49-F238E27FC236}">
                <a16:creationId xmlns:a16="http://schemas.microsoft.com/office/drawing/2014/main" id="{54AF079D-0E93-B972-0DAE-44FD72109F23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9D3DD2A-2237-49C8-B419-C1B762464E1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38099</xdr:colOff>
      <xdr:row>30</xdr:row>
      <xdr:rowOff>161925</xdr:rowOff>
    </xdr:from>
    <xdr:to>
      <xdr:col>2</xdr:col>
      <xdr:colOff>314100</xdr:colOff>
      <xdr:row>35</xdr:row>
      <xdr:rowOff>109425</xdr:rowOff>
    </xdr:to>
    <xdr:grpSp>
      <xdr:nvGrpSpPr>
        <xdr:cNvPr id="112" name="Grupo 111">
          <a:extLst>
            <a:ext uri="{FF2B5EF4-FFF2-40B4-BE49-F238E27FC236}">
              <a16:creationId xmlns:a16="http://schemas.microsoft.com/office/drawing/2014/main" id="{A2DD6757-C679-4236-96B9-A806230FF37C}"/>
            </a:ext>
          </a:extLst>
        </xdr:cNvPr>
        <xdr:cNvGrpSpPr/>
      </xdr:nvGrpSpPr>
      <xdr:grpSpPr>
        <a:xfrm>
          <a:off x="38099" y="5607050"/>
          <a:ext cx="1803176" cy="852375"/>
          <a:chOff x="180972" y="76199"/>
          <a:chExt cx="1838104" cy="900000"/>
        </a:xfrm>
      </xdr:grpSpPr>
      <xdr:grpSp>
        <xdr:nvGrpSpPr>
          <xdr:cNvPr id="113" name="Grupo 112">
            <a:extLst>
              <a:ext uri="{FF2B5EF4-FFF2-40B4-BE49-F238E27FC236}">
                <a16:creationId xmlns:a16="http://schemas.microsoft.com/office/drawing/2014/main" id="{AE3034C9-08B9-52A7-6E76-2FBF7D15D059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115" name="Rectángulo 114">
              <a:extLst>
                <a:ext uri="{FF2B5EF4-FFF2-40B4-BE49-F238E27FC236}">
                  <a16:creationId xmlns:a16="http://schemas.microsoft.com/office/drawing/2014/main" id="{CBD4CC7B-81B0-31CD-1733-6597EAE7389B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16" name="Imagen 115">
              <a:extLst>
                <a:ext uri="{FF2B5EF4-FFF2-40B4-BE49-F238E27FC236}">
                  <a16:creationId xmlns:a16="http://schemas.microsoft.com/office/drawing/2014/main" id="{B5539B70-2861-05C7-EC83-6BB244D166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8">
          <xdr:nvSpPr>
            <xdr:cNvPr id="117" name="Rectángulo 116">
              <a:extLst>
                <a:ext uri="{FF2B5EF4-FFF2-40B4-BE49-F238E27FC236}">
                  <a16:creationId xmlns:a16="http://schemas.microsoft.com/office/drawing/2014/main" id="{3B1AB8C5-28C3-65A0-7B2E-5174E844F7A0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82E4ED3-FE78-41D1-A492-DACD14DD61AB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102270</a:t>
              </a:fld>
              <a:endParaRPr lang="pt-BR" sz="1000" b="1"/>
            </a:p>
          </xdr:txBody>
        </xdr:sp>
        <xdr:sp macro="" textlink="K8">
          <xdr:nvSpPr>
            <xdr:cNvPr id="118" name="Rectángulo 117">
              <a:extLst>
                <a:ext uri="{FF2B5EF4-FFF2-40B4-BE49-F238E27FC236}">
                  <a16:creationId xmlns:a16="http://schemas.microsoft.com/office/drawing/2014/main" id="{536A5851-F77A-55F1-740B-23A6B65419DE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058CD8B-5710-4625-8D02-442A4585FD4A}" type="TxLink">
                <a:rPr lang="en-US" sz="10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POLIPASTO DE 3 TON CORTE NAVE 1 ATRAS</a:t>
              </a:fld>
              <a:endParaRPr lang="pt-BR" sz="100"/>
            </a:p>
          </xdr:txBody>
        </xdr:sp>
      </xdr:grpSp>
      <xdr:sp macro="" textlink="L8">
        <xdr:nvSpPr>
          <xdr:cNvPr id="114" name="Rectángulo 113">
            <a:extLst>
              <a:ext uri="{FF2B5EF4-FFF2-40B4-BE49-F238E27FC236}">
                <a16:creationId xmlns:a16="http://schemas.microsoft.com/office/drawing/2014/main" id="{C19B8187-25AA-54BF-E40C-90DDA8CCF74B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8820CDB-E9D4-43A7-87F0-D32180F04AC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37875</xdr:colOff>
      <xdr:row>36</xdr:row>
      <xdr:rowOff>28518</xdr:rowOff>
    </xdr:from>
    <xdr:to>
      <xdr:col>2</xdr:col>
      <xdr:colOff>313876</xdr:colOff>
      <xdr:row>40</xdr:row>
      <xdr:rowOff>166518</xdr:rowOff>
    </xdr:to>
    <xdr:grpSp>
      <xdr:nvGrpSpPr>
        <xdr:cNvPr id="119" name="Grupo 118">
          <a:extLst>
            <a:ext uri="{FF2B5EF4-FFF2-40B4-BE49-F238E27FC236}">
              <a16:creationId xmlns:a16="http://schemas.microsoft.com/office/drawing/2014/main" id="{C221C445-E4EE-4429-9B22-FCE71317C334}"/>
            </a:ext>
          </a:extLst>
        </xdr:cNvPr>
        <xdr:cNvGrpSpPr/>
      </xdr:nvGrpSpPr>
      <xdr:grpSpPr>
        <a:xfrm>
          <a:off x="37875" y="6565843"/>
          <a:ext cx="1803176" cy="855550"/>
          <a:chOff x="180972" y="76199"/>
          <a:chExt cx="1838104" cy="900000"/>
        </a:xfrm>
      </xdr:grpSpPr>
      <xdr:grpSp>
        <xdr:nvGrpSpPr>
          <xdr:cNvPr id="120" name="Grupo 119">
            <a:extLst>
              <a:ext uri="{FF2B5EF4-FFF2-40B4-BE49-F238E27FC236}">
                <a16:creationId xmlns:a16="http://schemas.microsoft.com/office/drawing/2014/main" id="{7D61A476-003B-8316-93ED-EB7D9004590B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122" name="Rectángulo 121">
              <a:extLst>
                <a:ext uri="{FF2B5EF4-FFF2-40B4-BE49-F238E27FC236}">
                  <a16:creationId xmlns:a16="http://schemas.microsoft.com/office/drawing/2014/main" id="{CB0C9CD2-D8BE-8227-300A-DFD8D2636980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23" name="Imagen 122">
              <a:extLst>
                <a:ext uri="{FF2B5EF4-FFF2-40B4-BE49-F238E27FC236}">
                  <a16:creationId xmlns:a16="http://schemas.microsoft.com/office/drawing/2014/main" id="{FC6BA41B-39F4-30A1-329F-9E11F2AB2B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9">
          <xdr:nvSpPr>
            <xdr:cNvPr id="124" name="Rectángulo 123">
              <a:extLst>
                <a:ext uri="{FF2B5EF4-FFF2-40B4-BE49-F238E27FC236}">
                  <a16:creationId xmlns:a16="http://schemas.microsoft.com/office/drawing/2014/main" id="{5B4EE806-88FE-E02A-2064-87EAC4CA0DA2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767D9D4-C7DE-489E-A602-04233D1317A9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102272</a:t>
              </a:fld>
              <a:endParaRPr lang="pt-BR" sz="1000" b="1"/>
            </a:p>
          </xdr:txBody>
        </xdr:sp>
        <xdr:sp macro="" textlink="K9">
          <xdr:nvSpPr>
            <xdr:cNvPr id="125" name="Rectángulo 124">
              <a:extLst>
                <a:ext uri="{FF2B5EF4-FFF2-40B4-BE49-F238E27FC236}">
                  <a16:creationId xmlns:a16="http://schemas.microsoft.com/office/drawing/2014/main" id="{49A90D37-A697-463C-E404-EF63F21401C1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A899F60-D57B-4BC7-8F00-0E9A458B8B7D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PUENTE GRUA 5TON BODEGA 1 NAVE 1 ADEL GN016</a:t>
              </a:fld>
              <a:endParaRPr lang="pt-BR" sz="100"/>
            </a:p>
          </xdr:txBody>
        </xdr:sp>
      </xdr:grpSp>
      <xdr:sp macro="" textlink="L9">
        <xdr:nvSpPr>
          <xdr:cNvPr id="121" name="Rectángulo 120">
            <a:extLst>
              <a:ext uri="{FF2B5EF4-FFF2-40B4-BE49-F238E27FC236}">
                <a16:creationId xmlns:a16="http://schemas.microsoft.com/office/drawing/2014/main" id="{DE7D21DF-517F-FA77-F1D3-EC50BC165CA8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01C83A2-1065-4313-9F95-1ECE57C63D7A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34313</xdr:colOff>
      <xdr:row>41</xdr:row>
      <xdr:rowOff>42975</xdr:rowOff>
    </xdr:from>
    <xdr:to>
      <xdr:col>2</xdr:col>
      <xdr:colOff>310314</xdr:colOff>
      <xdr:row>45</xdr:row>
      <xdr:rowOff>180975</xdr:rowOff>
    </xdr:to>
    <xdr:grpSp>
      <xdr:nvGrpSpPr>
        <xdr:cNvPr id="126" name="Grupo 125">
          <a:extLst>
            <a:ext uri="{FF2B5EF4-FFF2-40B4-BE49-F238E27FC236}">
              <a16:creationId xmlns:a16="http://schemas.microsoft.com/office/drawing/2014/main" id="{DA50A2F7-DE00-416A-BD17-1E25239E52B4}"/>
            </a:ext>
          </a:extLst>
        </xdr:cNvPr>
        <xdr:cNvGrpSpPr/>
      </xdr:nvGrpSpPr>
      <xdr:grpSpPr>
        <a:xfrm>
          <a:off x="31138" y="7485175"/>
          <a:ext cx="1806351" cy="855550"/>
          <a:chOff x="180972" y="76199"/>
          <a:chExt cx="1838104" cy="900000"/>
        </a:xfrm>
      </xdr:grpSpPr>
      <xdr:grpSp>
        <xdr:nvGrpSpPr>
          <xdr:cNvPr id="127" name="Grupo 126">
            <a:extLst>
              <a:ext uri="{FF2B5EF4-FFF2-40B4-BE49-F238E27FC236}">
                <a16:creationId xmlns:a16="http://schemas.microsoft.com/office/drawing/2014/main" id="{81857078-6C27-8699-0455-906BB27E132D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129" name="Rectángulo 128">
              <a:extLst>
                <a:ext uri="{FF2B5EF4-FFF2-40B4-BE49-F238E27FC236}">
                  <a16:creationId xmlns:a16="http://schemas.microsoft.com/office/drawing/2014/main" id="{8FC0BBC1-24C3-4633-04B1-C4EDD6D91A85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30" name="Imagen 129">
              <a:extLst>
                <a:ext uri="{FF2B5EF4-FFF2-40B4-BE49-F238E27FC236}">
                  <a16:creationId xmlns:a16="http://schemas.microsoft.com/office/drawing/2014/main" id="{47CA536B-ECFA-36A9-CF6F-09C182A691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0">
          <xdr:nvSpPr>
            <xdr:cNvPr id="131" name="Rectángulo 130">
              <a:extLst>
                <a:ext uri="{FF2B5EF4-FFF2-40B4-BE49-F238E27FC236}">
                  <a16:creationId xmlns:a16="http://schemas.microsoft.com/office/drawing/2014/main" id="{89C1B5E3-324E-F115-4ABC-B1831F7C2A39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5A57BC54-6BDB-43DF-9490-D78AC2DDBD2C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900000000019</a:t>
              </a:fld>
              <a:endParaRPr lang="pt-BR" sz="1000" b="1"/>
            </a:p>
          </xdr:txBody>
        </xdr:sp>
        <xdr:sp macro="" textlink="K10">
          <xdr:nvSpPr>
            <xdr:cNvPr id="132" name="Rectángulo 131">
              <a:extLst>
                <a:ext uri="{FF2B5EF4-FFF2-40B4-BE49-F238E27FC236}">
                  <a16:creationId xmlns:a16="http://schemas.microsoft.com/office/drawing/2014/main" id="{3680F2A8-DF34-B5F0-77CB-5F5A557B900E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A59CE11-5DF9-415E-9D47-40786CCD6731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FABRICACION DISPOSITIVO DE CARGUE</a:t>
              </a:fld>
              <a:endParaRPr lang="pt-BR" sz="100"/>
            </a:p>
          </xdr:txBody>
        </xdr:sp>
      </xdr:grpSp>
      <xdr:sp macro="" textlink="L10">
        <xdr:nvSpPr>
          <xdr:cNvPr id="128" name="Rectángulo 127">
            <a:extLst>
              <a:ext uri="{FF2B5EF4-FFF2-40B4-BE49-F238E27FC236}">
                <a16:creationId xmlns:a16="http://schemas.microsoft.com/office/drawing/2014/main" id="{9BF22DA8-EFC2-57A6-F4D9-0AD9C69E958F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5AB9904-7345-4408-B15C-5653BBA59357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N1_WTC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70461</xdr:colOff>
      <xdr:row>50</xdr:row>
      <xdr:rowOff>0</xdr:rowOff>
    </xdr:from>
    <xdr:to>
      <xdr:col>2</xdr:col>
      <xdr:colOff>346461</xdr:colOff>
      <xdr:row>54</xdr:row>
      <xdr:rowOff>168652</xdr:rowOff>
    </xdr:to>
    <xdr:grpSp>
      <xdr:nvGrpSpPr>
        <xdr:cNvPr id="191" name="Grupo 190">
          <a:extLst>
            <a:ext uri="{FF2B5EF4-FFF2-40B4-BE49-F238E27FC236}">
              <a16:creationId xmlns:a16="http://schemas.microsoft.com/office/drawing/2014/main" id="{E6C6D790-7506-41BD-858D-7EEC793D9CA3}"/>
            </a:ext>
          </a:extLst>
        </xdr:cNvPr>
        <xdr:cNvGrpSpPr/>
      </xdr:nvGrpSpPr>
      <xdr:grpSpPr>
        <a:xfrm>
          <a:off x="67286" y="9067800"/>
          <a:ext cx="1806350" cy="892552"/>
          <a:chOff x="180975" y="66674"/>
          <a:chExt cx="1838101" cy="748578"/>
        </a:xfrm>
      </xdr:grpSpPr>
      <xdr:grpSp>
        <xdr:nvGrpSpPr>
          <xdr:cNvPr id="192" name="Grupo 191">
            <a:extLst>
              <a:ext uri="{FF2B5EF4-FFF2-40B4-BE49-F238E27FC236}">
                <a16:creationId xmlns:a16="http://schemas.microsoft.com/office/drawing/2014/main" id="{FDE5AE14-A0B0-ABDD-87A3-9F8588597978}"/>
              </a:ext>
            </a:extLst>
          </xdr:cNvPr>
          <xdr:cNvGrpSpPr/>
        </xdr:nvGrpSpPr>
        <xdr:grpSpPr>
          <a:xfrm>
            <a:off x="180975" y="76200"/>
            <a:ext cx="1838101" cy="739052"/>
            <a:chOff x="167713" y="101573"/>
            <a:chExt cx="2937439" cy="987480"/>
          </a:xfrm>
        </xdr:grpSpPr>
        <xdr:sp macro="" textlink="">
          <xdr:nvSpPr>
            <xdr:cNvPr id="194" name="Rectángulo 193">
              <a:extLst>
                <a:ext uri="{FF2B5EF4-FFF2-40B4-BE49-F238E27FC236}">
                  <a16:creationId xmlns:a16="http://schemas.microsoft.com/office/drawing/2014/main" id="{34F4387D-3596-66A9-6725-380BE752E0A7}"/>
                </a:ext>
              </a:extLst>
            </xdr:cNvPr>
            <xdr:cNvSpPr/>
          </xdr:nvSpPr>
          <xdr:spPr>
            <a:xfrm>
              <a:off x="167713" y="101573"/>
              <a:ext cx="2937439" cy="98748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195" name="Imagen 194">
              <a:extLst>
                <a:ext uri="{FF2B5EF4-FFF2-40B4-BE49-F238E27FC236}">
                  <a16:creationId xmlns:a16="http://schemas.microsoft.com/office/drawing/2014/main" id="{D499A427-4C0E-BD03-1165-C6F08C808C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1">
          <xdr:nvSpPr>
            <xdr:cNvPr id="196" name="Rectángulo 195">
              <a:extLst>
                <a:ext uri="{FF2B5EF4-FFF2-40B4-BE49-F238E27FC236}">
                  <a16:creationId xmlns:a16="http://schemas.microsoft.com/office/drawing/2014/main" id="{92BBDFD5-3140-CD23-0909-C186E4721DF4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403721D-7877-46D3-BE8B-EBB0F1C407EC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101465</a:t>
              </a:fld>
              <a:endParaRPr lang="pt-BR" sz="1000" b="1"/>
            </a:p>
          </xdr:txBody>
        </xdr:sp>
        <xdr:sp macro="" textlink="K11">
          <xdr:nvSpPr>
            <xdr:cNvPr id="197" name="Rectángulo 196">
              <a:extLst>
                <a:ext uri="{FF2B5EF4-FFF2-40B4-BE49-F238E27FC236}">
                  <a16:creationId xmlns:a16="http://schemas.microsoft.com/office/drawing/2014/main" id="{2AB77569-1074-30DE-1730-5ACC413F551D}"/>
                </a:ext>
              </a:extLst>
            </xdr:cNvPr>
            <xdr:cNvSpPr/>
          </xdr:nvSpPr>
          <xdr:spPr>
            <a:xfrm>
              <a:off x="228602" y="628649"/>
              <a:ext cx="2876550" cy="4476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F6754C1-98B3-475B-A6D6-9A3BD4820C10}" type="TxLink">
                <a:rPr lang="en-US" sz="10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DOBLADORA HIDRAULICA (EN079)</a:t>
              </a:fld>
              <a:endParaRPr lang="pt-BR" sz="200"/>
            </a:p>
          </xdr:txBody>
        </xdr:sp>
      </xdr:grpSp>
      <xdr:sp macro="" textlink="L11">
        <xdr:nvSpPr>
          <xdr:cNvPr id="193" name="Rectángulo 192">
            <a:extLst>
              <a:ext uri="{FF2B5EF4-FFF2-40B4-BE49-F238E27FC236}">
                <a16:creationId xmlns:a16="http://schemas.microsoft.com/office/drawing/2014/main" id="{426F44DB-0F67-FAAC-3FDD-D3955D4FFC25}"/>
              </a:ext>
            </a:extLst>
          </xdr:cNvPr>
          <xdr:cNvSpPr/>
        </xdr:nvSpPr>
        <xdr:spPr>
          <a:xfrm>
            <a:off x="657225" y="66674"/>
            <a:ext cx="1333500" cy="257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423FD95-2D48-4520-8577-6D7384378FB7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N2, M2_WTC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60936</xdr:colOff>
      <xdr:row>55</xdr:row>
      <xdr:rowOff>66676</xdr:rowOff>
    </xdr:from>
    <xdr:to>
      <xdr:col>2</xdr:col>
      <xdr:colOff>336936</xdr:colOff>
      <xdr:row>60</xdr:row>
      <xdr:rowOff>14176</xdr:rowOff>
    </xdr:to>
    <xdr:grpSp>
      <xdr:nvGrpSpPr>
        <xdr:cNvPr id="198" name="Grupo 197">
          <a:extLst>
            <a:ext uri="{FF2B5EF4-FFF2-40B4-BE49-F238E27FC236}">
              <a16:creationId xmlns:a16="http://schemas.microsoft.com/office/drawing/2014/main" id="{B289E96E-DA27-4432-8F71-44A5EB3CB76A}"/>
            </a:ext>
          </a:extLst>
        </xdr:cNvPr>
        <xdr:cNvGrpSpPr/>
      </xdr:nvGrpSpPr>
      <xdr:grpSpPr>
        <a:xfrm>
          <a:off x="64111" y="10036176"/>
          <a:ext cx="1793650" cy="852375"/>
          <a:chOff x="180975" y="76199"/>
          <a:chExt cx="1838101" cy="900000"/>
        </a:xfrm>
      </xdr:grpSpPr>
      <xdr:grpSp>
        <xdr:nvGrpSpPr>
          <xdr:cNvPr id="199" name="Grupo 198">
            <a:extLst>
              <a:ext uri="{FF2B5EF4-FFF2-40B4-BE49-F238E27FC236}">
                <a16:creationId xmlns:a16="http://schemas.microsoft.com/office/drawing/2014/main" id="{AC1FC3D3-B3B5-0B64-DDE3-5A5BDC4F359F}"/>
              </a:ext>
            </a:extLst>
          </xdr:cNvPr>
          <xdr:cNvGrpSpPr/>
        </xdr:nvGrpSpPr>
        <xdr:grpSpPr>
          <a:xfrm>
            <a:off x="180975" y="76199"/>
            <a:ext cx="1838101" cy="900000"/>
            <a:chOff x="167713" y="101572"/>
            <a:chExt cx="2937439" cy="1202530"/>
          </a:xfrm>
        </xdr:grpSpPr>
        <xdr:sp macro="" textlink="">
          <xdr:nvSpPr>
            <xdr:cNvPr id="201" name="Rectángulo 200">
              <a:extLst>
                <a:ext uri="{FF2B5EF4-FFF2-40B4-BE49-F238E27FC236}">
                  <a16:creationId xmlns:a16="http://schemas.microsoft.com/office/drawing/2014/main" id="{0B54B812-982B-EC92-1713-6B688EAFACB9}"/>
                </a:ext>
              </a:extLst>
            </xdr:cNvPr>
            <xdr:cNvSpPr/>
          </xdr:nvSpPr>
          <xdr:spPr>
            <a:xfrm>
              <a:off x="167713" y="101572"/>
              <a:ext cx="2937439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Administracion</a:t>
              </a:r>
            </a:p>
          </xdr:txBody>
        </xdr:sp>
        <xdr:pic>
          <xdr:nvPicPr>
            <xdr:cNvPr id="202" name="Imagen 201">
              <a:extLst>
                <a:ext uri="{FF2B5EF4-FFF2-40B4-BE49-F238E27FC236}">
                  <a16:creationId xmlns:a16="http://schemas.microsoft.com/office/drawing/2014/main" id="{6AE5D090-E93C-D7F4-9118-8DCEA0F469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</xdr:pic>
        <xdr:sp macro="" textlink="J12">
          <xdr:nvSpPr>
            <xdr:cNvPr id="203" name="Rectángulo 202">
              <a:extLst>
                <a:ext uri="{FF2B5EF4-FFF2-40B4-BE49-F238E27FC236}">
                  <a16:creationId xmlns:a16="http://schemas.microsoft.com/office/drawing/2014/main" id="{6754B4BF-0525-D73A-07B3-177123C0F6C1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9AA07E09-50A7-494B-A055-60076AB4CE99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102256</a:t>
              </a:fld>
              <a:endParaRPr lang="pt-BR" sz="1000" b="1"/>
            </a:p>
          </xdr:txBody>
        </xdr:sp>
        <xdr:sp macro="" textlink="K12">
          <xdr:nvSpPr>
            <xdr:cNvPr id="204" name="Rectángulo 203">
              <a:extLst>
                <a:ext uri="{FF2B5EF4-FFF2-40B4-BE49-F238E27FC236}">
                  <a16:creationId xmlns:a16="http://schemas.microsoft.com/office/drawing/2014/main" id="{CCC41E86-BA55-CF79-0B50-416BA5A32EBE}"/>
                </a:ext>
              </a:extLst>
            </xdr:cNvPr>
            <xdr:cNvSpPr/>
          </xdr:nvSpPr>
          <xdr:spPr>
            <a:xfrm>
              <a:off x="167715" y="628649"/>
              <a:ext cx="2937437" cy="6565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4199F1A8-4725-4B34-B210-4AB8D7BF4F89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TALADRO DE BANCO TOTECH REF 45E CON CAJA DE PIÑON</a:t>
              </a:fld>
              <a:endParaRPr lang="pt-BR" sz="100"/>
            </a:p>
          </xdr:txBody>
        </xdr:sp>
      </xdr:grpSp>
      <xdr:sp macro="" textlink="L12">
        <xdr:nvSpPr>
          <xdr:cNvPr id="200" name="Rectángulo 199">
            <a:extLst>
              <a:ext uri="{FF2B5EF4-FFF2-40B4-BE49-F238E27FC236}">
                <a16:creationId xmlns:a16="http://schemas.microsoft.com/office/drawing/2014/main" id="{237C9BD2-2399-21A9-B40C-366F215D969A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3E8BA0-41E5-4ECB-AD0C-266D4C83C55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B1, N2, M2_WTC</a:t>
            </a:fld>
            <a:endParaRPr lang="pt-BR" sz="900"/>
          </a:p>
        </xdr:txBody>
      </xdr:sp>
    </xdr:grpSp>
    <xdr:clientData/>
  </xdr:twoCellAnchor>
  <xdr:twoCellAnchor>
    <xdr:from>
      <xdr:col>0</xdr:col>
      <xdr:colOff>70459</xdr:colOff>
      <xdr:row>60</xdr:row>
      <xdr:rowOff>76201</xdr:rowOff>
    </xdr:from>
    <xdr:to>
      <xdr:col>2</xdr:col>
      <xdr:colOff>384562</xdr:colOff>
      <xdr:row>65</xdr:row>
      <xdr:rowOff>23701</xdr:rowOff>
    </xdr:to>
    <xdr:grpSp>
      <xdr:nvGrpSpPr>
        <xdr:cNvPr id="205" name="Grupo 204">
          <a:extLst>
            <a:ext uri="{FF2B5EF4-FFF2-40B4-BE49-F238E27FC236}">
              <a16:creationId xmlns:a16="http://schemas.microsoft.com/office/drawing/2014/main" id="{51BB7A19-1EE4-410D-BD57-01A5D2F0BC10}"/>
            </a:ext>
          </a:extLst>
        </xdr:cNvPr>
        <xdr:cNvGrpSpPr/>
      </xdr:nvGrpSpPr>
      <xdr:grpSpPr>
        <a:xfrm>
          <a:off x="67284" y="10953751"/>
          <a:ext cx="1844453" cy="855550"/>
          <a:chOff x="180973" y="76199"/>
          <a:chExt cx="1838103" cy="900000"/>
        </a:xfrm>
      </xdr:grpSpPr>
      <xdr:grpSp>
        <xdr:nvGrpSpPr>
          <xdr:cNvPr id="206" name="Grupo 205">
            <a:extLst>
              <a:ext uri="{FF2B5EF4-FFF2-40B4-BE49-F238E27FC236}">
                <a16:creationId xmlns:a16="http://schemas.microsoft.com/office/drawing/2014/main" id="{38BA380F-9A05-C307-823D-7021C3B9A9B4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08" name="Rectángulo 207">
              <a:extLst>
                <a:ext uri="{FF2B5EF4-FFF2-40B4-BE49-F238E27FC236}">
                  <a16:creationId xmlns:a16="http://schemas.microsoft.com/office/drawing/2014/main" id="{BA91C4D6-8334-81F9-1803-4E0981178643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09" name="Imagen 208">
              <a:extLst>
                <a:ext uri="{FF2B5EF4-FFF2-40B4-BE49-F238E27FC236}">
                  <a16:creationId xmlns:a16="http://schemas.microsoft.com/office/drawing/2014/main" id="{9AE9A155-9191-B46A-17C1-106B89ACA8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3">
          <xdr:nvSpPr>
            <xdr:cNvPr id="210" name="Rectángulo 209">
              <a:extLst>
                <a:ext uri="{FF2B5EF4-FFF2-40B4-BE49-F238E27FC236}">
                  <a16:creationId xmlns:a16="http://schemas.microsoft.com/office/drawing/2014/main" id="{7BFF3747-2BEF-BF82-C4DE-92D14373D300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7A6B38E-D2D3-4969-A448-2FAA90C31F54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3">
          <xdr:nvSpPr>
            <xdr:cNvPr id="211" name="Rectángulo 210">
              <a:extLst>
                <a:ext uri="{FF2B5EF4-FFF2-40B4-BE49-F238E27FC236}">
                  <a16:creationId xmlns:a16="http://schemas.microsoft.com/office/drawing/2014/main" id="{CDFBEB70-94D7-9810-34DD-167E6C45DC58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1B7CC8A9-9B8C-4C0F-BFCD-B2CBFF62F311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3">
        <xdr:nvSpPr>
          <xdr:cNvPr id="207" name="Rectángulo 206">
            <a:extLst>
              <a:ext uri="{FF2B5EF4-FFF2-40B4-BE49-F238E27FC236}">
                <a16:creationId xmlns:a16="http://schemas.microsoft.com/office/drawing/2014/main" id="{C00698EA-7CCC-3C6C-D267-B55E1B907119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9F001C-33EF-4957-960D-BC0E019C7BDB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22836</xdr:colOff>
      <xdr:row>65</xdr:row>
      <xdr:rowOff>114302</xdr:rowOff>
    </xdr:from>
    <xdr:to>
      <xdr:col>2</xdr:col>
      <xdr:colOff>336939</xdr:colOff>
      <xdr:row>70</xdr:row>
      <xdr:rowOff>61802</xdr:rowOff>
    </xdr:to>
    <xdr:grpSp>
      <xdr:nvGrpSpPr>
        <xdr:cNvPr id="212" name="Grupo 211">
          <a:extLst>
            <a:ext uri="{FF2B5EF4-FFF2-40B4-BE49-F238E27FC236}">
              <a16:creationId xmlns:a16="http://schemas.microsoft.com/office/drawing/2014/main" id="{8E965AFC-0D85-473E-8B5B-6497ED13D325}"/>
            </a:ext>
          </a:extLst>
        </xdr:cNvPr>
        <xdr:cNvGrpSpPr/>
      </xdr:nvGrpSpPr>
      <xdr:grpSpPr>
        <a:xfrm>
          <a:off x="26011" y="11896727"/>
          <a:ext cx="1831753" cy="855550"/>
          <a:chOff x="180973" y="76199"/>
          <a:chExt cx="1838103" cy="900000"/>
        </a:xfrm>
      </xdr:grpSpPr>
      <xdr:grpSp>
        <xdr:nvGrpSpPr>
          <xdr:cNvPr id="213" name="Grupo 212">
            <a:extLst>
              <a:ext uri="{FF2B5EF4-FFF2-40B4-BE49-F238E27FC236}">
                <a16:creationId xmlns:a16="http://schemas.microsoft.com/office/drawing/2014/main" id="{C3364550-D94C-CFF0-A4F3-3347DFD75B29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15" name="Rectángulo 214">
              <a:extLst>
                <a:ext uri="{FF2B5EF4-FFF2-40B4-BE49-F238E27FC236}">
                  <a16:creationId xmlns:a16="http://schemas.microsoft.com/office/drawing/2014/main" id="{E92C0815-8180-7C68-688E-71D829D25279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16" name="Imagen 215">
              <a:extLst>
                <a:ext uri="{FF2B5EF4-FFF2-40B4-BE49-F238E27FC236}">
                  <a16:creationId xmlns:a16="http://schemas.microsoft.com/office/drawing/2014/main" id="{7895D182-A992-25D0-E3BB-6C1EEB29DE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4">
          <xdr:nvSpPr>
            <xdr:cNvPr id="217" name="Rectángulo 216">
              <a:extLst>
                <a:ext uri="{FF2B5EF4-FFF2-40B4-BE49-F238E27FC236}">
                  <a16:creationId xmlns:a16="http://schemas.microsoft.com/office/drawing/2014/main" id="{415D59B1-54A4-CFC9-C815-7833A62E2261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6696938E-FF56-4590-806E-01BB1F0DA959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4">
          <xdr:nvSpPr>
            <xdr:cNvPr id="218" name="Rectángulo 217">
              <a:extLst>
                <a:ext uri="{FF2B5EF4-FFF2-40B4-BE49-F238E27FC236}">
                  <a16:creationId xmlns:a16="http://schemas.microsoft.com/office/drawing/2014/main" id="{FC03AC5B-FA5B-E85A-4E24-F5CC4F31FC38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522DB97D-83E4-4FC9-92DB-AB877C68E9F6}" type="TxLink">
                <a:rPr lang="en-US" sz="10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4">
        <xdr:nvSpPr>
          <xdr:cNvPr id="214" name="Rectángulo 213">
            <a:extLst>
              <a:ext uri="{FF2B5EF4-FFF2-40B4-BE49-F238E27FC236}">
                <a16:creationId xmlns:a16="http://schemas.microsoft.com/office/drawing/2014/main" id="{7802673A-73C4-B2C2-3C83-A8705E2460AB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93A612E-AFA4-4716-B8AB-B36E01B2163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32361</xdr:colOff>
      <xdr:row>70</xdr:row>
      <xdr:rowOff>142877</xdr:rowOff>
    </xdr:from>
    <xdr:to>
      <xdr:col>2</xdr:col>
      <xdr:colOff>346464</xdr:colOff>
      <xdr:row>75</xdr:row>
      <xdr:rowOff>90377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B87F595B-61C4-4BF4-8391-88C7A3875CCE}"/>
            </a:ext>
          </a:extLst>
        </xdr:cNvPr>
        <xdr:cNvGrpSpPr/>
      </xdr:nvGrpSpPr>
      <xdr:grpSpPr>
        <a:xfrm>
          <a:off x="29186" y="12827002"/>
          <a:ext cx="1844453" cy="852375"/>
          <a:chOff x="180973" y="76199"/>
          <a:chExt cx="1838103" cy="900000"/>
        </a:xfrm>
      </xdr:grpSpPr>
      <xdr:grpSp>
        <xdr:nvGrpSpPr>
          <xdr:cNvPr id="220" name="Grupo 219">
            <a:extLst>
              <a:ext uri="{FF2B5EF4-FFF2-40B4-BE49-F238E27FC236}">
                <a16:creationId xmlns:a16="http://schemas.microsoft.com/office/drawing/2014/main" id="{061DA93C-F580-FAA3-48F5-5AA47FF78B22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22" name="Rectángulo 221">
              <a:extLst>
                <a:ext uri="{FF2B5EF4-FFF2-40B4-BE49-F238E27FC236}">
                  <a16:creationId xmlns:a16="http://schemas.microsoft.com/office/drawing/2014/main" id="{32CDBD51-B182-3E50-FAAA-6805A105B8E7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23" name="Imagen 222">
              <a:extLst>
                <a:ext uri="{FF2B5EF4-FFF2-40B4-BE49-F238E27FC236}">
                  <a16:creationId xmlns:a16="http://schemas.microsoft.com/office/drawing/2014/main" id="{7FFB0FCC-7567-B492-0A41-4F2132D8F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5">
          <xdr:nvSpPr>
            <xdr:cNvPr id="224" name="Rectángulo 223">
              <a:extLst>
                <a:ext uri="{FF2B5EF4-FFF2-40B4-BE49-F238E27FC236}">
                  <a16:creationId xmlns:a16="http://schemas.microsoft.com/office/drawing/2014/main" id="{1755DC9D-1C8F-6E5F-A15A-600B798FDB46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9657DA7-1CC9-43A7-BA1E-29B3B247BAEB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5">
          <xdr:nvSpPr>
            <xdr:cNvPr id="225" name="Rectángulo 224">
              <a:extLst>
                <a:ext uri="{FF2B5EF4-FFF2-40B4-BE49-F238E27FC236}">
                  <a16:creationId xmlns:a16="http://schemas.microsoft.com/office/drawing/2014/main" id="{46E778DC-05B8-1FC8-64BC-5B28AE83F2DA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4536B14-2D88-4162-88E2-3E17CF88EA8C}" type="TxLink">
                <a:rPr lang="en-US" sz="8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5">
        <xdr:nvSpPr>
          <xdr:cNvPr id="221" name="Rectángulo 220">
            <a:extLst>
              <a:ext uri="{FF2B5EF4-FFF2-40B4-BE49-F238E27FC236}">
                <a16:creationId xmlns:a16="http://schemas.microsoft.com/office/drawing/2014/main" id="{984FF0A3-E43D-38C0-6CB0-92BB789FE6E9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77DB3D6-DE6F-494A-9498-90BF3EF8173B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22836</xdr:colOff>
      <xdr:row>75</xdr:row>
      <xdr:rowOff>133353</xdr:rowOff>
    </xdr:from>
    <xdr:to>
      <xdr:col>2</xdr:col>
      <xdr:colOff>336939</xdr:colOff>
      <xdr:row>80</xdr:row>
      <xdr:rowOff>80853</xdr:rowOff>
    </xdr:to>
    <xdr:grpSp>
      <xdr:nvGrpSpPr>
        <xdr:cNvPr id="226" name="Grupo 225">
          <a:extLst>
            <a:ext uri="{FF2B5EF4-FFF2-40B4-BE49-F238E27FC236}">
              <a16:creationId xmlns:a16="http://schemas.microsoft.com/office/drawing/2014/main" id="{BE843C80-1D13-4E87-9EB8-0FBE1C0BAFE0}"/>
            </a:ext>
          </a:extLst>
        </xdr:cNvPr>
        <xdr:cNvGrpSpPr/>
      </xdr:nvGrpSpPr>
      <xdr:grpSpPr>
        <a:xfrm>
          <a:off x="26011" y="13725528"/>
          <a:ext cx="1831753" cy="855550"/>
          <a:chOff x="180973" y="76199"/>
          <a:chExt cx="1838103" cy="900000"/>
        </a:xfrm>
      </xdr:grpSpPr>
      <xdr:grpSp>
        <xdr:nvGrpSpPr>
          <xdr:cNvPr id="227" name="Grupo 226">
            <a:extLst>
              <a:ext uri="{FF2B5EF4-FFF2-40B4-BE49-F238E27FC236}">
                <a16:creationId xmlns:a16="http://schemas.microsoft.com/office/drawing/2014/main" id="{278E4F3C-E209-2C29-1668-6C042E0548DD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29" name="Rectángulo 228">
              <a:extLst>
                <a:ext uri="{FF2B5EF4-FFF2-40B4-BE49-F238E27FC236}">
                  <a16:creationId xmlns:a16="http://schemas.microsoft.com/office/drawing/2014/main" id="{EE3E190F-75D8-2A7B-13C2-84D4D1FD5416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30" name="Imagen 229">
              <a:extLst>
                <a:ext uri="{FF2B5EF4-FFF2-40B4-BE49-F238E27FC236}">
                  <a16:creationId xmlns:a16="http://schemas.microsoft.com/office/drawing/2014/main" id="{307F7783-8188-6B44-9334-857DCA2FC9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6">
          <xdr:nvSpPr>
            <xdr:cNvPr id="231" name="Rectángulo 230">
              <a:extLst>
                <a:ext uri="{FF2B5EF4-FFF2-40B4-BE49-F238E27FC236}">
                  <a16:creationId xmlns:a16="http://schemas.microsoft.com/office/drawing/2014/main" id="{3C8BA69C-BB7D-B399-5C7C-45916D63AA0F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ADC6F23F-A9B2-4874-9DC7-AE67D3AD2AB2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6">
          <xdr:nvSpPr>
            <xdr:cNvPr id="232" name="Rectángulo 231">
              <a:extLst>
                <a:ext uri="{FF2B5EF4-FFF2-40B4-BE49-F238E27FC236}">
                  <a16:creationId xmlns:a16="http://schemas.microsoft.com/office/drawing/2014/main" id="{1640EBEB-FE13-986E-4926-1A32AB043911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FE046E6-C41F-46B4-8EB7-5E7CAFF50140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6">
        <xdr:nvSpPr>
          <xdr:cNvPr id="228" name="Rectángulo 227">
            <a:extLst>
              <a:ext uri="{FF2B5EF4-FFF2-40B4-BE49-F238E27FC236}">
                <a16:creationId xmlns:a16="http://schemas.microsoft.com/office/drawing/2014/main" id="{6EBD9500-150E-6AF7-E9B4-86BEA53E8E14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6146AEC-14CD-4048-AFB3-0B8BD4E06F2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22836</xdr:colOff>
      <xdr:row>80</xdr:row>
      <xdr:rowOff>142877</xdr:rowOff>
    </xdr:from>
    <xdr:to>
      <xdr:col>2</xdr:col>
      <xdr:colOff>336939</xdr:colOff>
      <xdr:row>85</xdr:row>
      <xdr:rowOff>90377</xdr:rowOff>
    </xdr:to>
    <xdr:grpSp>
      <xdr:nvGrpSpPr>
        <xdr:cNvPr id="233" name="Grupo 232">
          <a:extLst>
            <a:ext uri="{FF2B5EF4-FFF2-40B4-BE49-F238E27FC236}">
              <a16:creationId xmlns:a16="http://schemas.microsoft.com/office/drawing/2014/main" id="{3E0B059A-AAD4-4558-BEE2-4150CE652F25}"/>
            </a:ext>
          </a:extLst>
        </xdr:cNvPr>
        <xdr:cNvGrpSpPr/>
      </xdr:nvGrpSpPr>
      <xdr:grpSpPr>
        <a:xfrm>
          <a:off x="26011" y="14636752"/>
          <a:ext cx="1831753" cy="852375"/>
          <a:chOff x="180973" y="76199"/>
          <a:chExt cx="1838103" cy="900000"/>
        </a:xfrm>
      </xdr:grpSpPr>
      <xdr:grpSp>
        <xdr:nvGrpSpPr>
          <xdr:cNvPr id="234" name="Grupo 233">
            <a:extLst>
              <a:ext uri="{FF2B5EF4-FFF2-40B4-BE49-F238E27FC236}">
                <a16:creationId xmlns:a16="http://schemas.microsoft.com/office/drawing/2014/main" id="{EC0F5591-3D86-B728-8DBF-F5F9EBFFC0EB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36" name="Rectángulo 235">
              <a:extLst>
                <a:ext uri="{FF2B5EF4-FFF2-40B4-BE49-F238E27FC236}">
                  <a16:creationId xmlns:a16="http://schemas.microsoft.com/office/drawing/2014/main" id="{FA40C1B8-89E6-1C09-1873-0C9F7B3DE4A0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37" name="Imagen 236">
              <a:extLst>
                <a:ext uri="{FF2B5EF4-FFF2-40B4-BE49-F238E27FC236}">
                  <a16:creationId xmlns:a16="http://schemas.microsoft.com/office/drawing/2014/main" id="{1E0C42E7-3AE1-B771-4342-6BB27DBFBB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7">
          <xdr:nvSpPr>
            <xdr:cNvPr id="238" name="Rectángulo 237">
              <a:extLst>
                <a:ext uri="{FF2B5EF4-FFF2-40B4-BE49-F238E27FC236}">
                  <a16:creationId xmlns:a16="http://schemas.microsoft.com/office/drawing/2014/main" id="{8FE1E8D9-0260-2693-3ADE-D525BCBE337C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6DF91669-CD65-4C5F-8C76-E33A60A9BC17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7">
          <xdr:nvSpPr>
            <xdr:cNvPr id="239" name="Rectángulo 238">
              <a:extLst>
                <a:ext uri="{FF2B5EF4-FFF2-40B4-BE49-F238E27FC236}">
                  <a16:creationId xmlns:a16="http://schemas.microsoft.com/office/drawing/2014/main" id="{7AA78F10-6270-69FD-EE89-F141B1537BF5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23F3914E-7BEB-404E-9796-EA17DBE3A86C}" type="TxLink">
                <a:rPr lang="en-US" sz="10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7">
        <xdr:nvSpPr>
          <xdr:cNvPr id="235" name="Rectángulo 234">
            <a:extLst>
              <a:ext uri="{FF2B5EF4-FFF2-40B4-BE49-F238E27FC236}">
                <a16:creationId xmlns:a16="http://schemas.microsoft.com/office/drawing/2014/main" id="{C196BA81-2421-4BFE-EF26-7880B433502C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949388-2C59-4DF3-B23A-C41C5ED3F12D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3562</xdr:colOff>
      <xdr:row>85</xdr:row>
      <xdr:rowOff>171395</xdr:rowOff>
    </xdr:from>
    <xdr:to>
      <xdr:col>2</xdr:col>
      <xdr:colOff>317665</xdr:colOff>
      <xdr:row>90</xdr:row>
      <xdr:rowOff>118895</xdr:rowOff>
    </xdr:to>
    <xdr:grpSp>
      <xdr:nvGrpSpPr>
        <xdr:cNvPr id="240" name="Grupo 239">
          <a:extLst>
            <a:ext uri="{FF2B5EF4-FFF2-40B4-BE49-F238E27FC236}">
              <a16:creationId xmlns:a16="http://schemas.microsoft.com/office/drawing/2014/main" id="{635607EF-651D-4EAE-BB04-3B3FDCD30FA1}"/>
            </a:ext>
          </a:extLst>
        </xdr:cNvPr>
        <xdr:cNvGrpSpPr/>
      </xdr:nvGrpSpPr>
      <xdr:grpSpPr>
        <a:xfrm>
          <a:off x="6737" y="15573320"/>
          <a:ext cx="1831753" cy="855550"/>
          <a:chOff x="180973" y="76199"/>
          <a:chExt cx="1838103" cy="900000"/>
        </a:xfrm>
      </xdr:grpSpPr>
      <xdr:grpSp>
        <xdr:nvGrpSpPr>
          <xdr:cNvPr id="241" name="Grupo 240">
            <a:extLst>
              <a:ext uri="{FF2B5EF4-FFF2-40B4-BE49-F238E27FC236}">
                <a16:creationId xmlns:a16="http://schemas.microsoft.com/office/drawing/2014/main" id="{A997F6A2-6010-5A25-759E-F1800C8140F5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43" name="Rectángulo 242">
              <a:extLst>
                <a:ext uri="{FF2B5EF4-FFF2-40B4-BE49-F238E27FC236}">
                  <a16:creationId xmlns:a16="http://schemas.microsoft.com/office/drawing/2014/main" id="{451A4FE0-A1B7-0BFB-B9F8-B6D7962ECA31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44" name="Imagen 243">
              <a:extLst>
                <a:ext uri="{FF2B5EF4-FFF2-40B4-BE49-F238E27FC236}">
                  <a16:creationId xmlns:a16="http://schemas.microsoft.com/office/drawing/2014/main" id="{232A9AA1-AD98-0B78-7D53-93AA1389E8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8">
          <xdr:nvSpPr>
            <xdr:cNvPr id="245" name="Rectángulo 244">
              <a:extLst>
                <a:ext uri="{FF2B5EF4-FFF2-40B4-BE49-F238E27FC236}">
                  <a16:creationId xmlns:a16="http://schemas.microsoft.com/office/drawing/2014/main" id="{CD521E0F-BAD7-DBF4-60E0-9AF7B25E50F3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624798C-FE10-4BFA-9B5A-60CE3AB4CCA1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8">
          <xdr:nvSpPr>
            <xdr:cNvPr id="246" name="Rectángulo 245">
              <a:extLst>
                <a:ext uri="{FF2B5EF4-FFF2-40B4-BE49-F238E27FC236}">
                  <a16:creationId xmlns:a16="http://schemas.microsoft.com/office/drawing/2014/main" id="{134D7DF3-2F92-01F6-A3F3-43FECD956853}"/>
                </a:ext>
              </a:extLst>
            </xdr:cNvPr>
            <xdr:cNvSpPr/>
          </xdr:nvSpPr>
          <xdr:spPr>
            <a:xfrm>
              <a:off x="167715" y="66682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BC02BC0-0CA8-4953-BE19-C90FC3EDA9AA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200"/>
            </a:p>
          </xdr:txBody>
        </xdr:sp>
      </xdr:grpSp>
      <xdr:sp macro="" textlink="L18">
        <xdr:nvSpPr>
          <xdr:cNvPr id="242" name="Rectángulo 241">
            <a:extLst>
              <a:ext uri="{FF2B5EF4-FFF2-40B4-BE49-F238E27FC236}">
                <a16:creationId xmlns:a16="http://schemas.microsoft.com/office/drawing/2014/main" id="{41761D35-AB64-88C6-206B-4D06970BA77D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F783FC7-6A4D-44B5-B13D-BA769DCAF2E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0</xdr:colOff>
      <xdr:row>90</xdr:row>
      <xdr:rowOff>185852</xdr:rowOff>
    </xdr:from>
    <xdr:to>
      <xdr:col>2</xdr:col>
      <xdr:colOff>314103</xdr:colOff>
      <xdr:row>95</xdr:row>
      <xdr:rowOff>133352</xdr:rowOff>
    </xdr:to>
    <xdr:grpSp>
      <xdr:nvGrpSpPr>
        <xdr:cNvPr id="247" name="Grupo 246">
          <a:extLst>
            <a:ext uri="{FF2B5EF4-FFF2-40B4-BE49-F238E27FC236}">
              <a16:creationId xmlns:a16="http://schemas.microsoft.com/office/drawing/2014/main" id="{0F39CBD4-C74B-4AD8-8C52-9ECFC154AA71}"/>
            </a:ext>
          </a:extLst>
        </xdr:cNvPr>
        <xdr:cNvGrpSpPr/>
      </xdr:nvGrpSpPr>
      <xdr:grpSpPr>
        <a:xfrm>
          <a:off x="0" y="16489477"/>
          <a:ext cx="1841278" cy="855550"/>
          <a:chOff x="180973" y="76199"/>
          <a:chExt cx="1838103" cy="900000"/>
        </a:xfrm>
      </xdr:grpSpPr>
      <xdr:grpSp>
        <xdr:nvGrpSpPr>
          <xdr:cNvPr id="248" name="Grupo 247">
            <a:extLst>
              <a:ext uri="{FF2B5EF4-FFF2-40B4-BE49-F238E27FC236}">
                <a16:creationId xmlns:a16="http://schemas.microsoft.com/office/drawing/2014/main" id="{E20F2F7C-AE60-EAC6-042E-B4C47959C6CE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50" name="Rectángulo 249">
              <a:extLst>
                <a:ext uri="{FF2B5EF4-FFF2-40B4-BE49-F238E27FC236}">
                  <a16:creationId xmlns:a16="http://schemas.microsoft.com/office/drawing/2014/main" id="{67EE3760-7E23-CDBE-CCE9-3DB2672E6782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51" name="Imagen 250">
              <a:extLst>
                <a:ext uri="{FF2B5EF4-FFF2-40B4-BE49-F238E27FC236}">
                  <a16:creationId xmlns:a16="http://schemas.microsoft.com/office/drawing/2014/main" id="{499F42FF-7EDD-0E18-DDE1-EA264DE9B1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19">
          <xdr:nvSpPr>
            <xdr:cNvPr id="252" name="Rectángulo 251">
              <a:extLst>
                <a:ext uri="{FF2B5EF4-FFF2-40B4-BE49-F238E27FC236}">
                  <a16:creationId xmlns:a16="http://schemas.microsoft.com/office/drawing/2014/main" id="{559B5897-E2DC-2DBE-004B-4BD6F7267901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95847A3F-C782-45D3-A4F5-B801A51AC162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19">
          <xdr:nvSpPr>
            <xdr:cNvPr id="253" name="Rectángulo 252">
              <a:extLst>
                <a:ext uri="{FF2B5EF4-FFF2-40B4-BE49-F238E27FC236}">
                  <a16:creationId xmlns:a16="http://schemas.microsoft.com/office/drawing/2014/main" id="{8ED85E18-B500-90FB-F300-782C4492AA7E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01EA8E9-3504-48C9-8183-CE7A0FE4C315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19">
        <xdr:nvSpPr>
          <xdr:cNvPr id="249" name="Rectángulo 248">
            <a:extLst>
              <a:ext uri="{FF2B5EF4-FFF2-40B4-BE49-F238E27FC236}">
                <a16:creationId xmlns:a16="http://schemas.microsoft.com/office/drawing/2014/main" id="{5A554B19-C2B9-B010-E7C0-5222EEF600C4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5301F39-7A46-4243-B60D-F5532643C5B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51411</xdr:colOff>
      <xdr:row>99</xdr:row>
      <xdr:rowOff>0</xdr:rowOff>
    </xdr:from>
    <xdr:to>
      <xdr:col>2</xdr:col>
      <xdr:colOff>327411</xdr:colOff>
      <xdr:row>103</xdr:row>
      <xdr:rowOff>178177</xdr:rowOff>
    </xdr:to>
    <xdr:grpSp>
      <xdr:nvGrpSpPr>
        <xdr:cNvPr id="254" name="Grupo 253">
          <a:extLst>
            <a:ext uri="{FF2B5EF4-FFF2-40B4-BE49-F238E27FC236}">
              <a16:creationId xmlns:a16="http://schemas.microsoft.com/office/drawing/2014/main" id="{489433D8-B19C-4DE0-943C-E512FE1C296D}"/>
            </a:ext>
          </a:extLst>
        </xdr:cNvPr>
        <xdr:cNvGrpSpPr/>
      </xdr:nvGrpSpPr>
      <xdr:grpSpPr>
        <a:xfrm>
          <a:off x="48236" y="17935575"/>
          <a:ext cx="1806350" cy="905252"/>
          <a:chOff x="209849" y="66674"/>
          <a:chExt cx="1838101" cy="756400"/>
        </a:xfrm>
      </xdr:grpSpPr>
      <xdr:grpSp>
        <xdr:nvGrpSpPr>
          <xdr:cNvPr id="255" name="Grupo 254">
            <a:extLst>
              <a:ext uri="{FF2B5EF4-FFF2-40B4-BE49-F238E27FC236}">
                <a16:creationId xmlns:a16="http://schemas.microsoft.com/office/drawing/2014/main" id="{AADBD698-D397-ABA4-1FFA-010ED384ED71}"/>
              </a:ext>
            </a:extLst>
          </xdr:cNvPr>
          <xdr:cNvGrpSpPr/>
        </xdr:nvGrpSpPr>
        <xdr:grpSpPr>
          <a:xfrm>
            <a:off x="209849" y="84022"/>
            <a:ext cx="1838101" cy="739052"/>
            <a:chOff x="213856" y="112024"/>
            <a:chExt cx="2937439" cy="987480"/>
          </a:xfrm>
        </xdr:grpSpPr>
        <xdr:sp macro="" textlink="">
          <xdr:nvSpPr>
            <xdr:cNvPr id="257" name="Rectángulo 256">
              <a:extLst>
                <a:ext uri="{FF2B5EF4-FFF2-40B4-BE49-F238E27FC236}">
                  <a16:creationId xmlns:a16="http://schemas.microsoft.com/office/drawing/2014/main" id="{0F7F8673-6458-CDE8-66F5-81A452176E05}"/>
                </a:ext>
              </a:extLst>
            </xdr:cNvPr>
            <xdr:cNvSpPr/>
          </xdr:nvSpPr>
          <xdr:spPr>
            <a:xfrm>
              <a:off x="213856" y="112024"/>
              <a:ext cx="2937439" cy="98748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58" name="Imagen 257">
              <a:extLst>
                <a:ext uri="{FF2B5EF4-FFF2-40B4-BE49-F238E27FC236}">
                  <a16:creationId xmlns:a16="http://schemas.microsoft.com/office/drawing/2014/main" id="{C3044090-34A6-FC57-C809-C078396293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0">
          <xdr:nvSpPr>
            <xdr:cNvPr id="259" name="Rectángulo 258">
              <a:extLst>
                <a:ext uri="{FF2B5EF4-FFF2-40B4-BE49-F238E27FC236}">
                  <a16:creationId xmlns:a16="http://schemas.microsoft.com/office/drawing/2014/main" id="{DD20A889-4943-56C7-6BDD-03815732C7ED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A0352284-E77A-4618-B9DD-77E6BB8825C8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0">
          <xdr:nvSpPr>
            <xdr:cNvPr id="260" name="Rectángulo 259">
              <a:extLst>
                <a:ext uri="{FF2B5EF4-FFF2-40B4-BE49-F238E27FC236}">
                  <a16:creationId xmlns:a16="http://schemas.microsoft.com/office/drawing/2014/main" id="{0F67BE8C-7334-856F-5373-8BF775EC8D7B}"/>
                </a:ext>
              </a:extLst>
            </xdr:cNvPr>
            <xdr:cNvSpPr/>
          </xdr:nvSpPr>
          <xdr:spPr>
            <a:xfrm>
              <a:off x="228602" y="628649"/>
              <a:ext cx="2876550" cy="4476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7FEE8CC-641D-4A9A-BFCB-5BF7BED6A44C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0">
        <xdr:nvSpPr>
          <xdr:cNvPr id="256" name="Rectángulo 255">
            <a:extLst>
              <a:ext uri="{FF2B5EF4-FFF2-40B4-BE49-F238E27FC236}">
                <a16:creationId xmlns:a16="http://schemas.microsoft.com/office/drawing/2014/main" id="{846DC9D2-23D5-C3C9-8FC2-B02EE05950D1}"/>
              </a:ext>
            </a:extLst>
          </xdr:cNvPr>
          <xdr:cNvSpPr/>
        </xdr:nvSpPr>
        <xdr:spPr>
          <a:xfrm>
            <a:off x="657225" y="66674"/>
            <a:ext cx="1333500" cy="257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C9C63AE-EA70-41EB-97B9-F18842EAA44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41886</xdr:colOff>
      <xdr:row>104</xdr:row>
      <xdr:rowOff>66676</xdr:rowOff>
    </xdr:from>
    <xdr:to>
      <xdr:col>2</xdr:col>
      <xdr:colOff>317886</xdr:colOff>
      <xdr:row>109</xdr:row>
      <xdr:rowOff>14176</xdr:rowOff>
    </xdr:to>
    <xdr:grpSp>
      <xdr:nvGrpSpPr>
        <xdr:cNvPr id="261" name="Grupo 260">
          <a:extLst>
            <a:ext uri="{FF2B5EF4-FFF2-40B4-BE49-F238E27FC236}">
              <a16:creationId xmlns:a16="http://schemas.microsoft.com/office/drawing/2014/main" id="{C18F4AE6-51E5-4E5B-9650-15E94F47DF75}"/>
            </a:ext>
          </a:extLst>
        </xdr:cNvPr>
        <xdr:cNvGrpSpPr/>
      </xdr:nvGrpSpPr>
      <xdr:grpSpPr>
        <a:xfrm>
          <a:off x="45061" y="18903951"/>
          <a:ext cx="1793650" cy="852375"/>
          <a:chOff x="180975" y="76199"/>
          <a:chExt cx="1838101" cy="900000"/>
        </a:xfrm>
      </xdr:grpSpPr>
      <xdr:grpSp>
        <xdr:nvGrpSpPr>
          <xdr:cNvPr id="262" name="Grupo 261">
            <a:extLst>
              <a:ext uri="{FF2B5EF4-FFF2-40B4-BE49-F238E27FC236}">
                <a16:creationId xmlns:a16="http://schemas.microsoft.com/office/drawing/2014/main" id="{C39EFEA2-0D04-13C4-9BE3-AFBE01AEB847}"/>
              </a:ext>
            </a:extLst>
          </xdr:cNvPr>
          <xdr:cNvGrpSpPr/>
        </xdr:nvGrpSpPr>
        <xdr:grpSpPr>
          <a:xfrm>
            <a:off x="180975" y="76199"/>
            <a:ext cx="1838101" cy="900000"/>
            <a:chOff x="167713" y="101572"/>
            <a:chExt cx="2937439" cy="1202530"/>
          </a:xfrm>
        </xdr:grpSpPr>
        <xdr:sp macro="" textlink="">
          <xdr:nvSpPr>
            <xdr:cNvPr id="264" name="Rectángulo 263">
              <a:extLst>
                <a:ext uri="{FF2B5EF4-FFF2-40B4-BE49-F238E27FC236}">
                  <a16:creationId xmlns:a16="http://schemas.microsoft.com/office/drawing/2014/main" id="{D61D23A9-628C-60EE-F6A4-DCC604B04078}"/>
                </a:ext>
              </a:extLst>
            </xdr:cNvPr>
            <xdr:cNvSpPr/>
          </xdr:nvSpPr>
          <xdr:spPr>
            <a:xfrm>
              <a:off x="167713" y="101572"/>
              <a:ext cx="2937439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US" sz="11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Administracion</a:t>
              </a:r>
            </a:p>
          </xdr:txBody>
        </xdr:sp>
        <xdr:pic>
          <xdr:nvPicPr>
            <xdr:cNvPr id="265" name="Imagen 264">
              <a:extLst>
                <a:ext uri="{FF2B5EF4-FFF2-40B4-BE49-F238E27FC236}">
                  <a16:creationId xmlns:a16="http://schemas.microsoft.com/office/drawing/2014/main" id="{602C0129-8E3C-1CB7-7B45-5CBCD5A4A6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</xdr:pic>
        <xdr:sp macro="" textlink="J21">
          <xdr:nvSpPr>
            <xdr:cNvPr id="266" name="Rectángulo 265">
              <a:extLst>
                <a:ext uri="{FF2B5EF4-FFF2-40B4-BE49-F238E27FC236}">
                  <a16:creationId xmlns:a16="http://schemas.microsoft.com/office/drawing/2014/main" id="{66C62FA5-D3AE-2486-3809-0B0D77C10F49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EC8F414-8FA0-42BA-BEAC-CAA4A0274FB4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1">
          <xdr:nvSpPr>
            <xdr:cNvPr id="267" name="Rectángulo 266">
              <a:extLst>
                <a:ext uri="{FF2B5EF4-FFF2-40B4-BE49-F238E27FC236}">
                  <a16:creationId xmlns:a16="http://schemas.microsoft.com/office/drawing/2014/main" id="{5211798E-5EB8-8DF1-5BDF-82B735676C3C}"/>
                </a:ext>
              </a:extLst>
            </xdr:cNvPr>
            <xdr:cNvSpPr/>
          </xdr:nvSpPr>
          <xdr:spPr>
            <a:xfrm>
              <a:off x="167715" y="628649"/>
              <a:ext cx="2937437" cy="6565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0274316-11C0-49E2-8135-C0C4520E0D63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1">
        <xdr:nvSpPr>
          <xdr:cNvPr id="263" name="Rectángulo 262">
            <a:extLst>
              <a:ext uri="{FF2B5EF4-FFF2-40B4-BE49-F238E27FC236}">
                <a16:creationId xmlns:a16="http://schemas.microsoft.com/office/drawing/2014/main" id="{0266F2E4-A8B1-71AB-27CB-D4D40A56B1BD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F1C4B33-D95B-41ED-9CF4-3ED082ACDBEB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41888</xdr:colOff>
      <xdr:row>109</xdr:row>
      <xdr:rowOff>57151</xdr:rowOff>
    </xdr:from>
    <xdr:to>
      <xdr:col>2</xdr:col>
      <xdr:colOff>317888</xdr:colOff>
      <xdr:row>114</xdr:row>
      <xdr:rowOff>4651</xdr:rowOff>
    </xdr:to>
    <xdr:grpSp>
      <xdr:nvGrpSpPr>
        <xdr:cNvPr id="268" name="Grupo 267">
          <a:extLst>
            <a:ext uri="{FF2B5EF4-FFF2-40B4-BE49-F238E27FC236}">
              <a16:creationId xmlns:a16="http://schemas.microsoft.com/office/drawing/2014/main" id="{B2017634-E357-45BE-A905-823A0328A727}"/>
            </a:ext>
          </a:extLst>
        </xdr:cNvPr>
        <xdr:cNvGrpSpPr/>
      </xdr:nvGrpSpPr>
      <xdr:grpSpPr>
        <a:xfrm>
          <a:off x="45063" y="19802476"/>
          <a:ext cx="1793650" cy="855550"/>
          <a:chOff x="180977" y="76199"/>
          <a:chExt cx="1838099" cy="900000"/>
        </a:xfrm>
      </xdr:grpSpPr>
      <xdr:grpSp>
        <xdr:nvGrpSpPr>
          <xdr:cNvPr id="269" name="Grupo 268">
            <a:extLst>
              <a:ext uri="{FF2B5EF4-FFF2-40B4-BE49-F238E27FC236}">
                <a16:creationId xmlns:a16="http://schemas.microsoft.com/office/drawing/2014/main" id="{7B946BBA-2871-DE12-4211-6FAD880C87DD}"/>
              </a:ext>
            </a:extLst>
          </xdr:cNvPr>
          <xdr:cNvGrpSpPr/>
        </xdr:nvGrpSpPr>
        <xdr:grpSpPr>
          <a:xfrm>
            <a:off x="180977" y="76199"/>
            <a:ext cx="1838099" cy="900000"/>
            <a:chOff x="167715" y="101572"/>
            <a:chExt cx="2937437" cy="1202530"/>
          </a:xfrm>
        </xdr:grpSpPr>
        <xdr:sp macro="" textlink="">
          <xdr:nvSpPr>
            <xdr:cNvPr id="271" name="Rectángulo 270">
              <a:extLst>
                <a:ext uri="{FF2B5EF4-FFF2-40B4-BE49-F238E27FC236}">
                  <a16:creationId xmlns:a16="http://schemas.microsoft.com/office/drawing/2014/main" id="{60ADA1E9-2E47-D0C4-6EE8-116657C74470}"/>
                </a:ext>
              </a:extLst>
            </xdr:cNvPr>
            <xdr:cNvSpPr/>
          </xdr:nvSpPr>
          <xdr:spPr>
            <a:xfrm>
              <a:off x="212906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72" name="Imagen 271">
              <a:extLst>
                <a:ext uri="{FF2B5EF4-FFF2-40B4-BE49-F238E27FC236}">
                  <a16:creationId xmlns:a16="http://schemas.microsoft.com/office/drawing/2014/main" id="{86FC9961-0E48-EB9A-B232-8C8DDB2253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2">
          <xdr:nvSpPr>
            <xdr:cNvPr id="273" name="Rectángulo 272">
              <a:extLst>
                <a:ext uri="{FF2B5EF4-FFF2-40B4-BE49-F238E27FC236}">
                  <a16:creationId xmlns:a16="http://schemas.microsoft.com/office/drawing/2014/main" id="{DFCA85A5-18E9-E1D9-5CE0-8DE0F2152D00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9801D8A2-A3BD-4AF5-A898-11F38102CB57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2">
          <xdr:nvSpPr>
            <xdr:cNvPr id="274" name="Rectángulo 273">
              <a:extLst>
                <a:ext uri="{FF2B5EF4-FFF2-40B4-BE49-F238E27FC236}">
                  <a16:creationId xmlns:a16="http://schemas.microsoft.com/office/drawing/2014/main" id="{1D577ECB-9F3C-B567-3584-74FE87F64153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57965573-AF5D-4FF8-89B2-78F0E68FC5AF}" type="TxLink">
                <a:rPr lang="en-US" sz="8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2">
        <xdr:nvSpPr>
          <xdr:cNvPr id="270" name="Rectángulo 269">
            <a:extLst>
              <a:ext uri="{FF2B5EF4-FFF2-40B4-BE49-F238E27FC236}">
                <a16:creationId xmlns:a16="http://schemas.microsoft.com/office/drawing/2014/main" id="{FCDB9453-ADBD-A8D0-773B-9B46513165A4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021F15C-85A6-4E0E-B89E-7F7BEB16E1A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22835</xdr:colOff>
      <xdr:row>114</xdr:row>
      <xdr:rowOff>114302</xdr:rowOff>
    </xdr:from>
    <xdr:to>
      <xdr:col>2</xdr:col>
      <xdr:colOff>298836</xdr:colOff>
      <xdr:row>119</xdr:row>
      <xdr:rowOff>61802</xdr:rowOff>
    </xdr:to>
    <xdr:grpSp>
      <xdr:nvGrpSpPr>
        <xdr:cNvPr id="275" name="Grupo 274">
          <a:extLst>
            <a:ext uri="{FF2B5EF4-FFF2-40B4-BE49-F238E27FC236}">
              <a16:creationId xmlns:a16="http://schemas.microsoft.com/office/drawing/2014/main" id="{CDF0EDC4-776C-40E2-BC23-1E025B84F848}"/>
            </a:ext>
          </a:extLst>
        </xdr:cNvPr>
        <xdr:cNvGrpSpPr/>
      </xdr:nvGrpSpPr>
      <xdr:grpSpPr>
        <a:xfrm>
          <a:off x="26010" y="20764502"/>
          <a:ext cx="1793651" cy="855550"/>
          <a:chOff x="180972" y="76199"/>
          <a:chExt cx="1838104" cy="900000"/>
        </a:xfrm>
      </xdr:grpSpPr>
      <xdr:grpSp>
        <xdr:nvGrpSpPr>
          <xdr:cNvPr id="276" name="Grupo 275">
            <a:extLst>
              <a:ext uri="{FF2B5EF4-FFF2-40B4-BE49-F238E27FC236}">
                <a16:creationId xmlns:a16="http://schemas.microsoft.com/office/drawing/2014/main" id="{534D0D5A-FEEB-0A2A-DE76-C5D220094B1C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278" name="Rectángulo 277">
              <a:extLst>
                <a:ext uri="{FF2B5EF4-FFF2-40B4-BE49-F238E27FC236}">
                  <a16:creationId xmlns:a16="http://schemas.microsoft.com/office/drawing/2014/main" id="{8C203543-6E5A-E408-BB9E-9227E9C154EE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79" name="Imagen 278">
              <a:extLst>
                <a:ext uri="{FF2B5EF4-FFF2-40B4-BE49-F238E27FC236}">
                  <a16:creationId xmlns:a16="http://schemas.microsoft.com/office/drawing/2014/main" id="{1450E695-6C5D-9D0F-CECF-6421F0F4DA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3">
          <xdr:nvSpPr>
            <xdr:cNvPr id="280" name="Rectángulo 279">
              <a:extLst>
                <a:ext uri="{FF2B5EF4-FFF2-40B4-BE49-F238E27FC236}">
                  <a16:creationId xmlns:a16="http://schemas.microsoft.com/office/drawing/2014/main" id="{84B4EDEC-2430-35F4-16E8-C98CF78E51E6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E2EE3B5-F1EF-431A-BFC0-28710BDE540E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3">
          <xdr:nvSpPr>
            <xdr:cNvPr id="281" name="Rectángulo 280">
              <a:extLst>
                <a:ext uri="{FF2B5EF4-FFF2-40B4-BE49-F238E27FC236}">
                  <a16:creationId xmlns:a16="http://schemas.microsoft.com/office/drawing/2014/main" id="{F618C6C9-A79D-7B5E-FCBE-203C853F3F87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88276B7-A196-48D8-BC85-CD331F2C81BF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200"/>
            </a:p>
          </xdr:txBody>
        </xdr:sp>
      </xdr:grpSp>
      <xdr:sp macro="" textlink="L23">
        <xdr:nvSpPr>
          <xdr:cNvPr id="277" name="Rectángulo 276">
            <a:extLst>
              <a:ext uri="{FF2B5EF4-FFF2-40B4-BE49-F238E27FC236}">
                <a16:creationId xmlns:a16="http://schemas.microsoft.com/office/drawing/2014/main" id="{091A2189-7C06-B9A9-3F04-0DF3F9E63A8F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BE7487F-81A3-4A4B-B967-78D33382CDF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32360</xdr:colOff>
      <xdr:row>119</xdr:row>
      <xdr:rowOff>142877</xdr:rowOff>
    </xdr:from>
    <xdr:to>
      <xdr:col>2</xdr:col>
      <xdr:colOff>308361</xdr:colOff>
      <xdr:row>124</xdr:row>
      <xdr:rowOff>90377</xdr:rowOff>
    </xdr:to>
    <xdr:grpSp>
      <xdr:nvGrpSpPr>
        <xdr:cNvPr id="282" name="Grupo 281">
          <a:extLst>
            <a:ext uri="{FF2B5EF4-FFF2-40B4-BE49-F238E27FC236}">
              <a16:creationId xmlns:a16="http://schemas.microsoft.com/office/drawing/2014/main" id="{512F231B-7CBB-490B-B5C3-E4241AA9C0E9}"/>
            </a:ext>
          </a:extLst>
        </xdr:cNvPr>
        <xdr:cNvGrpSpPr/>
      </xdr:nvGrpSpPr>
      <xdr:grpSpPr>
        <a:xfrm>
          <a:off x="29185" y="21694777"/>
          <a:ext cx="1806351" cy="852375"/>
          <a:chOff x="180972" y="76199"/>
          <a:chExt cx="1838104" cy="900000"/>
        </a:xfrm>
      </xdr:grpSpPr>
      <xdr:grpSp>
        <xdr:nvGrpSpPr>
          <xdr:cNvPr id="283" name="Grupo 282">
            <a:extLst>
              <a:ext uri="{FF2B5EF4-FFF2-40B4-BE49-F238E27FC236}">
                <a16:creationId xmlns:a16="http://schemas.microsoft.com/office/drawing/2014/main" id="{CC068464-4C73-2CB0-2DC8-F8355ECB5890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285" name="Rectángulo 284">
              <a:extLst>
                <a:ext uri="{FF2B5EF4-FFF2-40B4-BE49-F238E27FC236}">
                  <a16:creationId xmlns:a16="http://schemas.microsoft.com/office/drawing/2014/main" id="{7371857F-8BD3-837C-BECE-223B49BBB088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86" name="Imagen 285">
              <a:extLst>
                <a:ext uri="{FF2B5EF4-FFF2-40B4-BE49-F238E27FC236}">
                  <a16:creationId xmlns:a16="http://schemas.microsoft.com/office/drawing/2014/main" id="{3221184C-82DC-2B4A-F3FE-755923A930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4">
          <xdr:nvSpPr>
            <xdr:cNvPr id="287" name="Rectángulo 286">
              <a:extLst>
                <a:ext uri="{FF2B5EF4-FFF2-40B4-BE49-F238E27FC236}">
                  <a16:creationId xmlns:a16="http://schemas.microsoft.com/office/drawing/2014/main" id="{D8222FB6-7602-CABE-FB99-A5729AFC768D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D6ED77A-975D-44B3-BB11-41822C516439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4">
          <xdr:nvSpPr>
            <xdr:cNvPr id="288" name="Rectángulo 287">
              <a:extLst>
                <a:ext uri="{FF2B5EF4-FFF2-40B4-BE49-F238E27FC236}">
                  <a16:creationId xmlns:a16="http://schemas.microsoft.com/office/drawing/2014/main" id="{35FBCE1F-264C-3537-550E-96C3EF81B2A5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3CDE2C7-3AC1-40D3-80FA-A9F166F31A62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4">
        <xdr:nvSpPr>
          <xdr:cNvPr id="284" name="Rectángulo 283">
            <a:extLst>
              <a:ext uri="{FF2B5EF4-FFF2-40B4-BE49-F238E27FC236}">
                <a16:creationId xmlns:a16="http://schemas.microsoft.com/office/drawing/2014/main" id="{4F2829C0-D62E-F69F-121F-466F9206021E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0274B27-B7C1-4EA1-A7AB-6BEDDE043B14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22835</xdr:colOff>
      <xdr:row>124</xdr:row>
      <xdr:rowOff>133353</xdr:rowOff>
    </xdr:from>
    <xdr:to>
      <xdr:col>2</xdr:col>
      <xdr:colOff>298836</xdr:colOff>
      <xdr:row>129</xdr:row>
      <xdr:rowOff>80853</xdr:rowOff>
    </xdr:to>
    <xdr:grpSp>
      <xdr:nvGrpSpPr>
        <xdr:cNvPr id="289" name="Grupo 288">
          <a:extLst>
            <a:ext uri="{FF2B5EF4-FFF2-40B4-BE49-F238E27FC236}">
              <a16:creationId xmlns:a16="http://schemas.microsoft.com/office/drawing/2014/main" id="{95E93CD8-E2E1-4505-BAE5-02C96756EA51}"/>
            </a:ext>
          </a:extLst>
        </xdr:cNvPr>
        <xdr:cNvGrpSpPr/>
      </xdr:nvGrpSpPr>
      <xdr:grpSpPr>
        <a:xfrm>
          <a:off x="26010" y="22593303"/>
          <a:ext cx="1793651" cy="855550"/>
          <a:chOff x="180972" y="76199"/>
          <a:chExt cx="1838104" cy="900000"/>
        </a:xfrm>
      </xdr:grpSpPr>
      <xdr:grpSp>
        <xdr:nvGrpSpPr>
          <xdr:cNvPr id="290" name="Grupo 289">
            <a:extLst>
              <a:ext uri="{FF2B5EF4-FFF2-40B4-BE49-F238E27FC236}">
                <a16:creationId xmlns:a16="http://schemas.microsoft.com/office/drawing/2014/main" id="{A84F8479-2298-2336-DBFC-098E3DB74B49}"/>
              </a:ext>
            </a:extLst>
          </xdr:cNvPr>
          <xdr:cNvGrpSpPr/>
        </xdr:nvGrpSpPr>
        <xdr:grpSpPr>
          <a:xfrm>
            <a:off x="180972" y="76199"/>
            <a:ext cx="1838104" cy="900000"/>
            <a:chOff x="167707" y="101572"/>
            <a:chExt cx="2937445" cy="1202530"/>
          </a:xfrm>
        </xdr:grpSpPr>
        <xdr:sp macro="" textlink="">
          <xdr:nvSpPr>
            <xdr:cNvPr id="292" name="Rectángulo 291">
              <a:extLst>
                <a:ext uri="{FF2B5EF4-FFF2-40B4-BE49-F238E27FC236}">
                  <a16:creationId xmlns:a16="http://schemas.microsoft.com/office/drawing/2014/main" id="{2DDD51B5-A013-17E5-6CC6-5BF1AA407064}"/>
                </a:ext>
              </a:extLst>
            </xdr:cNvPr>
            <xdr:cNvSpPr/>
          </xdr:nvSpPr>
          <xdr:spPr>
            <a:xfrm>
              <a:off x="167707" y="101572"/>
              <a:ext cx="2937443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293" name="Imagen 292">
              <a:extLst>
                <a:ext uri="{FF2B5EF4-FFF2-40B4-BE49-F238E27FC236}">
                  <a16:creationId xmlns:a16="http://schemas.microsoft.com/office/drawing/2014/main" id="{DB658E10-0FC4-3F2B-F5DA-E580D6FD17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5">
          <xdr:nvSpPr>
            <xdr:cNvPr id="294" name="Rectángulo 293">
              <a:extLst>
                <a:ext uri="{FF2B5EF4-FFF2-40B4-BE49-F238E27FC236}">
                  <a16:creationId xmlns:a16="http://schemas.microsoft.com/office/drawing/2014/main" id="{4CB7A685-3431-3694-3C0B-01F52148C971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2C224BF-84A1-44CB-A190-5C22E42607D3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5">
          <xdr:nvSpPr>
            <xdr:cNvPr id="295" name="Rectángulo 294">
              <a:extLst>
                <a:ext uri="{FF2B5EF4-FFF2-40B4-BE49-F238E27FC236}">
                  <a16:creationId xmlns:a16="http://schemas.microsoft.com/office/drawing/2014/main" id="{1A8CDB3A-7595-D635-DF9D-634AA9FF4129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494D28A7-8698-40EE-8C50-647154FB18D0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5">
        <xdr:nvSpPr>
          <xdr:cNvPr id="291" name="Rectángulo 290">
            <a:extLst>
              <a:ext uri="{FF2B5EF4-FFF2-40B4-BE49-F238E27FC236}">
                <a16:creationId xmlns:a16="http://schemas.microsoft.com/office/drawing/2014/main" id="{CDFCD2DC-F668-A761-E921-D227D53FD7C2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F61EBBD-4ABB-45EA-A430-388BCB0FB4C2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13311</xdr:colOff>
      <xdr:row>129</xdr:row>
      <xdr:rowOff>133352</xdr:rowOff>
    </xdr:from>
    <xdr:to>
      <xdr:col>2</xdr:col>
      <xdr:colOff>289311</xdr:colOff>
      <xdr:row>134</xdr:row>
      <xdr:rowOff>80852</xdr:rowOff>
    </xdr:to>
    <xdr:grpSp>
      <xdr:nvGrpSpPr>
        <xdr:cNvPr id="296" name="Grupo 295">
          <a:extLst>
            <a:ext uri="{FF2B5EF4-FFF2-40B4-BE49-F238E27FC236}">
              <a16:creationId xmlns:a16="http://schemas.microsoft.com/office/drawing/2014/main" id="{F54E775F-8E92-4279-9C8B-85C9D93B9123}"/>
            </a:ext>
          </a:extLst>
        </xdr:cNvPr>
        <xdr:cNvGrpSpPr/>
      </xdr:nvGrpSpPr>
      <xdr:grpSpPr>
        <a:xfrm>
          <a:off x="10136" y="23498177"/>
          <a:ext cx="1806350" cy="855550"/>
          <a:chOff x="180973" y="76199"/>
          <a:chExt cx="1838103" cy="900000"/>
        </a:xfrm>
      </xdr:grpSpPr>
      <xdr:grpSp>
        <xdr:nvGrpSpPr>
          <xdr:cNvPr id="297" name="Grupo 296">
            <a:extLst>
              <a:ext uri="{FF2B5EF4-FFF2-40B4-BE49-F238E27FC236}">
                <a16:creationId xmlns:a16="http://schemas.microsoft.com/office/drawing/2014/main" id="{B4763887-1CC8-B5B0-2696-1B33774C0D36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299" name="Rectángulo 298">
              <a:extLst>
                <a:ext uri="{FF2B5EF4-FFF2-40B4-BE49-F238E27FC236}">
                  <a16:creationId xmlns:a16="http://schemas.microsoft.com/office/drawing/2014/main" id="{306CF500-9FB9-F519-E739-6090E8294FAE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300" name="Imagen 299">
              <a:extLst>
                <a:ext uri="{FF2B5EF4-FFF2-40B4-BE49-F238E27FC236}">
                  <a16:creationId xmlns:a16="http://schemas.microsoft.com/office/drawing/2014/main" id="{FAEC7C69-8517-1363-B1FE-FF125B8302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6">
          <xdr:nvSpPr>
            <xdr:cNvPr id="301" name="Rectángulo 300">
              <a:extLst>
                <a:ext uri="{FF2B5EF4-FFF2-40B4-BE49-F238E27FC236}">
                  <a16:creationId xmlns:a16="http://schemas.microsoft.com/office/drawing/2014/main" id="{139EB0D4-B80E-095C-59BB-CAB03E964BC2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42C6898-E2FC-43B2-AB2E-1BF95B8424CA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6">
          <xdr:nvSpPr>
            <xdr:cNvPr id="302" name="Rectángulo 301">
              <a:extLst>
                <a:ext uri="{FF2B5EF4-FFF2-40B4-BE49-F238E27FC236}">
                  <a16:creationId xmlns:a16="http://schemas.microsoft.com/office/drawing/2014/main" id="{AC749175-1A63-1240-FCAA-04325AF7F874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B8EEE56-D65F-4D11-B822-6B15FB340F1F}" type="TxLink">
                <a:rPr lang="en-US" sz="8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100"/>
            </a:p>
          </xdr:txBody>
        </xdr:sp>
      </xdr:grpSp>
      <xdr:sp macro="" textlink="L26">
        <xdr:nvSpPr>
          <xdr:cNvPr id="298" name="Rectángulo 297">
            <a:extLst>
              <a:ext uri="{FF2B5EF4-FFF2-40B4-BE49-F238E27FC236}">
                <a16:creationId xmlns:a16="http://schemas.microsoft.com/office/drawing/2014/main" id="{00A9C8A3-097A-E314-056F-CC2F50693CCB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1B9E267-7F17-4207-BD6A-E2C829F779A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3562</xdr:colOff>
      <xdr:row>134</xdr:row>
      <xdr:rowOff>171395</xdr:rowOff>
    </xdr:from>
    <xdr:to>
      <xdr:col>2</xdr:col>
      <xdr:colOff>279562</xdr:colOff>
      <xdr:row>139</xdr:row>
      <xdr:rowOff>118895</xdr:rowOff>
    </xdr:to>
    <xdr:grpSp>
      <xdr:nvGrpSpPr>
        <xdr:cNvPr id="303" name="Grupo 302">
          <a:extLst>
            <a:ext uri="{FF2B5EF4-FFF2-40B4-BE49-F238E27FC236}">
              <a16:creationId xmlns:a16="http://schemas.microsoft.com/office/drawing/2014/main" id="{11317729-6AB6-4CBF-9C88-47781655DBE6}"/>
            </a:ext>
          </a:extLst>
        </xdr:cNvPr>
        <xdr:cNvGrpSpPr/>
      </xdr:nvGrpSpPr>
      <xdr:grpSpPr>
        <a:xfrm>
          <a:off x="6737" y="24441095"/>
          <a:ext cx="1793650" cy="855550"/>
          <a:chOff x="180973" y="76199"/>
          <a:chExt cx="1838103" cy="900000"/>
        </a:xfrm>
      </xdr:grpSpPr>
      <xdr:grpSp>
        <xdr:nvGrpSpPr>
          <xdr:cNvPr id="304" name="Grupo 303">
            <a:extLst>
              <a:ext uri="{FF2B5EF4-FFF2-40B4-BE49-F238E27FC236}">
                <a16:creationId xmlns:a16="http://schemas.microsoft.com/office/drawing/2014/main" id="{E6BB5BCB-813D-70BD-BD18-A5D911CB372A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306" name="Rectángulo 305">
              <a:extLst>
                <a:ext uri="{FF2B5EF4-FFF2-40B4-BE49-F238E27FC236}">
                  <a16:creationId xmlns:a16="http://schemas.microsoft.com/office/drawing/2014/main" id="{76C9BE86-8D1B-E00F-D854-ADAF254BBBF0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307" name="Imagen 306">
              <a:extLst>
                <a:ext uri="{FF2B5EF4-FFF2-40B4-BE49-F238E27FC236}">
                  <a16:creationId xmlns:a16="http://schemas.microsoft.com/office/drawing/2014/main" id="{56B16C1F-EABB-9D50-2CFC-A89D5F7DEB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7">
          <xdr:nvSpPr>
            <xdr:cNvPr id="308" name="Rectángulo 307">
              <a:extLst>
                <a:ext uri="{FF2B5EF4-FFF2-40B4-BE49-F238E27FC236}">
                  <a16:creationId xmlns:a16="http://schemas.microsoft.com/office/drawing/2014/main" id="{7153CB0E-744B-2594-8B09-CA08CFC1857C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182B0DD1-52FC-40FF-80D9-14F8E50882F7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7">
          <xdr:nvSpPr>
            <xdr:cNvPr id="309" name="Rectángulo 308">
              <a:extLst>
                <a:ext uri="{FF2B5EF4-FFF2-40B4-BE49-F238E27FC236}">
                  <a16:creationId xmlns:a16="http://schemas.microsoft.com/office/drawing/2014/main" id="{E98D156C-155C-3F38-E11F-7BF4B24ED46E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58C55196-430A-4119-A94E-C131ACC72A1D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200"/>
            </a:p>
          </xdr:txBody>
        </xdr:sp>
      </xdr:grpSp>
      <xdr:sp macro="" textlink="L27">
        <xdr:nvSpPr>
          <xdr:cNvPr id="305" name="Rectángulo 304">
            <a:extLst>
              <a:ext uri="{FF2B5EF4-FFF2-40B4-BE49-F238E27FC236}">
                <a16:creationId xmlns:a16="http://schemas.microsoft.com/office/drawing/2014/main" id="{588C3791-168F-FF3C-8EF6-B19B6BD485E5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BBBEDBE-FB58-40BB-8554-12CE72FB5DA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  <xdr:twoCellAnchor>
    <xdr:from>
      <xdr:col>0</xdr:col>
      <xdr:colOff>0</xdr:colOff>
      <xdr:row>139</xdr:row>
      <xdr:rowOff>185852</xdr:rowOff>
    </xdr:from>
    <xdr:to>
      <xdr:col>2</xdr:col>
      <xdr:colOff>276000</xdr:colOff>
      <xdr:row>144</xdr:row>
      <xdr:rowOff>133352</xdr:rowOff>
    </xdr:to>
    <xdr:grpSp>
      <xdr:nvGrpSpPr>
        <xdr:cNvPr id="310" name="Grupo 309">
          <a:extLst>
            <a:ext uri="{FF2B5EF4-FFF2-40B4-BE49-F238E27FC236}">
              <a16:creationId xmlns:a16="http://schemas.microsoft.com/office/drawing/2014/main" id="{E82F447F-CB88-4C7B-84D8-C503BAE1B335}"/>
            </a:ext>
          </a:extLst>
        </xdr:cNvPr>
        <xdr:cNvGrpSpPr/>
      </xdr:nvGrpSpPr>
      <xdr:grpSpPr>
        <a:xfrm>
          <a:off x="0" y="25357252"/>
          <a:ext cx="1803175" cy="855550"/>
          <a:chOff x="180973" y="76199"/>
          <a:chExt cx="1838103" cy="900000"/>
        </a:xfrm>
      </xdr:grpSpPr>
      <xdr:grpSp>
        <xdr:nvGrpSpPr>
          <xdr:cNvPr id="311" name="Grupo 310">
            <a:extLst>
              <a:ext uri="{FF2B5EF4-FFF2-40B4-BE49-F238E27FC236}">
                <a16:creationId xmlns:a16="http://schemas.microsoft.com/office/drawing/2014/main" id="{6987ADF2-DD2D-A915-ECD2-8A0C911EEA36}"/>
              </a:ext>
            </a:extLst>
          </xdr:cNvPr>
          <xdr:cNvGrpSpPr/>
        </xdr:nvGrpSpPr>
        <xdr:grpSpPr>
          <a:xfrm>
            <a:off x="180973" y="76199"/>
            <a:ext cx="1838103" cy="900000"/>
            <a:chOff x="167709" y="101572"/>
            <a:chExt cx="2937443" cy="1202530"/>
          </a:xfrm>
        </xdr:grpSpPr>
        <xdr:sp macro="" textlink="">
          <xdr:nvSpPr>
            <xdr:cNvPr id="313" name="Rectángulo 312">
              <a:extLst>
                <a:ext uri="{FF2B5EF4-FFF2-40B4-BE49-F238E27FC236}">
                  <a16:creationId xmlns:a16="http://schemas.microsoft.com/office/drawing/2014/main" id="{BAA2B6C5-1E36-A76A-2589-567839F25F27}"/>
                </a:ext>
              </a:extLst>
            </xdr:cNvPr>
            <xdr:cNvSpPr/>
          </xdr:nvSpPr>
          <xdr:spPr>
            <a:xfrm>
              <a:off x="167709" y="101572"/>
              <a:ext cx="2876551" cy="120253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/>
                <a:t>Administracion</a:t>
              </a:r>
            </a:p>
          </xdr:txBody>
        </xdr:sp>
        <xdr:pic>
          <xdr:nvPicPr>
            <xdr:cNvPr id="314" name="Imagen 313">
              <a:extLst>
                <a:ext uri="{FF2B5EF4-FFF2-40B4-BE49-F238E27FC236}">
                  <a16:creationId xmlns:a16="http://schemas.microsoft.com/office/drawing/2014/main" id="{B28144E4-0895-5E7A-0628-58BACA183D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38126" y="152400"/>
              <a:ext cx="685800" cy="481601"/>
            </a:xfrm>
            <a:prstGeom prst="rect">
              <a:avLst/>
            </a:prstGeom>
          </xdr:spPr>
        </xdr:pic>
        <xdr:sp macro="" textlink="J28">
          <xdr:nvSpPr>
            <xdr:cNvPr id="315" name="Rectángulo 314">
              <a:extLst>
                <a:ext uri="{FF2B5EF4-FFF2-40B4-BE49-F238E27FC236}">
                  <a16:creationId xmlns:a16="http://schemas.microsoft.com/office/drawing/2014/main" id="{2A8700D5-647E-66D5-38E3-12E53AA7D335}"/>
                </a:ext>
              </a:extLst>
            </xdr:cNvPr>
            <xdr:cNvSpPr/>
          </xdr:nvSpPr>
          <xdr:spPr>
            <a:xfrm>
              <a:off x="916359" y="333294"/>
              <a:ext cx="1884716" cy="2646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A9020A7-62AA-434D-A481-2937F1C48F19}" type="TxLink">
                <a:rPr lang="en-US" sz="11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pt-BR" sz="1000" b="1"/>
            </a:p>
          </xdr:txBody>
        </xdr:sp>
        <xdr:sp macro="" textlink="K28">
          <xdr:nvSpPr>
            <xdr:cNvPr id="316" name="Rectángulo 315">
              <a:extLst>
                <a:ext uri="{FF2B5EF4-FFF2-40B4-BE49-F238E27FC236}">
                  <a16:creationId xmlns:a16="http://schemas.microsoft.com/office/drawing/2014/main" id="{6E7A59DD-25E5-6BC6-5B1A-CD3677804DE0}"/>
                </a:ext>
              </a:extLst>
            </xdr:cNvPr>
            <xdr:cNvSpPr/>
          </xdr:nvSpPr>
          <xdr:spPr>
            <a:xfrm>
              <a:off x="167715" y="628649"/>
              <a:ext cx="2937437" cy="6056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3D3386A1-EA2A-4C76-BE27-5E0AEA117938}" type="TxLink"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0</a:t>
              </a:fld>
              <a:endParaRPr lang="pt-BR" sz="200"/>
            </a:p>
          </xdr:txBody>
        </xdr:sp>
      </xdr:grpSp>
      <xdr:sp macro="" textlink="L28">
        <xdr:nvSpPr>
          <xdr:cNvPr id="312" name="Rectángulo 311">
            <a:extLst>
              <a:ext uri="{FF2B5EF4-FFF2-40B4-BE49-F238E27FC236}">
                <a16:creationId xmlns:a16="http://schemas.microsoft.com/office/drawing/2014/main" id="{48050D68-99FC-7BD3-AAF0-0EB6E58ACBC5}"/>
              </a:ext>
            </a:extLst>
          </xdr:cNvPr>
          <xdr:cNvSpPr/>
        </xdr:nvSpPr>
        <xdr:spPr>
          <a:xfrm>
            <a:off x="533399" y="95250"/>
            <a:ext cx="1466851" cy="2095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12C6CA-437E-4C21-9B91-1F736C40BADD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pt-BR" sz="9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urte Antonio Palacios Valencia" refreshedDate="46154.662258101853" createdVersion="8" refreshedVersion="8" minRefreshableVersion="3" recordCount="710" xr:uid="{3CCD3C3B-B0C1-44EF-A0A3-A04D67D2CB19}">
  <cacheSource type="worksheet">
    <worksheetSource ref="A2:S712" sheet="Base de datos"/>
  </cacheSource>
  <cacheFields count="19">
    <cacheField name="Activo fijo" numFmtId="0">
      <sharedItems containsMixedTypes="1" containsNumber="1" containsInteger="1" minValue="102826" maxValue="103003" count="671">
        <s v="101464"/>
        <s v="101465"/>
        <s v="101466"/>
        <s v="101467"/>
        <s v="101468"/>
        <s v="101470"/>
        <s v="101472"/>
        <s v="101478"/>
        <s v="101479"/>
        <s v="101480"/>
        <s v="101481"/>
        <s v="101482"/>
        <s v="101483"/>
        <s v="101484"/>
        <s v="101485"/>
        <s v="101486"/>
        <s v="101487"/>
        <s v="101488"/>
        <s v="101489"/>
        <s v="101490"/>
        <s v="101491"/>
        <s v="101492"/>
        <s v="101494"/>
        <s v="101496"/>
        <s v="101497"/>
        <s v="101498"/>
        <s v="101499"/>
        <s v="101500"/>
        <s v="101501"/>
        <s v="101504"/>
        <s v="101505"/>
        <s v="101506"/>
        <s v="101507"/>
        <s v="101509"/>
        <s v="101510"/>
        <s v="101514"/>
        <s v="101517"/>
        <s v="101519"/>
        <s v="101520"/>
        <s v="101521"/>
        <s v="101522"/>
        <s v="101523"/>
        <s v="101524"/>
        <s v="101525"/>
        <s v="101526"/>
        <s v="101527"/>
        <s v="101530"/>
        <s v="101531"/>
        <s v="101532"/>
        <s v="101533"/>
        <s v="101534"/>
        <s v="101535"/>
        <s v="101538"/>
        <s v="101540"/>
        <s v="101543"/>
        <s v="101545"/>
        <s v="101546"/>
        <s v="101547"/>
        <s v="101553"/>
        <s v="101559"/>
        <s v="101561"/>
        <s v="101578"/>
        <s v="101584"/>
        <s v="101585"/>
        <s v="101586"/>
        <s v="101587"/>
        <s v="101588"/>
        <s v="101594"/>
        <s v="101595"/>
        <s v="101596"/>
        <s v="101597"/>
        <s v="101598"/>
        <s v="101599"/>
        <s v="101600"/>
        <s v="101603"/>
        <s v="101605"/>
        <s v="101606"/>
        <s v="101607"/>
        <s v="101608"/>
        <s v="101609"/>
        <s v="101610"/>
        <s v="101611"/>
        <s v="101612"/>
        <s v="101613"/>
        <s v="101614"/>
        <s v="101615"/>
        <s v="101617"/>
        <s v="101625"/>
        <s v="101626"/>
        <s v="101627"/>
        <s v="101628"/>
        <s v="101629"/>
        <s v="101630"/>
        <s v="101633"/>
        <s v="101634"/>
        <s v="101635"/>
        <s v="101636"/>
        <s v="101637"/>
        <s v="101638"/>
        <s v="101639"/>
        <s v="101640"/>
        <s v="101641"/>
        <s v="101642"/>
        <s v="101643"/>
        <s v="101644"/>
        <s v="101647"/>
        <s v="101648"/>
        <s v="101652"/>
        <s v="101657"/>
        <s v="101658"/>
        <s v="101659"/>
        <s v="101660"/>
        <s v="101665"/>
        <s v="101667"/>
        <s v="101668"/>
        <s v="101669"/>
        <s v="101670"/>
        <s v="101674"/>
        <s v="101675"/>
        <s v="101678"/>
        <s v="101679"/>
        <s v="101680"/>
        <s v="101681"/>
        <s v="101682"/>
        <s v="101683"/>
        <s v="101684"/>
        <s v="101685"/>
        <s v="101687"/>
        <s v="101688"/>
        <s v="101689"/>
        <s v="101690"/>
        <s v="101691"/>
        <s v="101692"/>
        <s v="101693"/>
        <s v="101694"/>
        <s v="101699"/>
        <s v="101700"/>
        <s v="101701"/>
        <s v="101702"/>
        <s v="101705"/>
        <s v="101978"/>
        <s v="101979"/>
        <s v="101991"/>
        <s v="101992"/>
        <s v="102003"/>
        <s v="102004"/>
        <s v="102005"/>
        <s v="102006"/>
        <s v="102007"/>
        <s v="102008"/>
        <s v="102009"/>
        <s v="102010"/>
        <s v="102011"/>
        <s v="102014"/>
        <s v="102019"/>
        <s v="102020"/>
        <s v="102026"/>
        <s v="102027"/>
        <s v="102030"/>
        <s v="102033"/>
        <s v="102034"/>
        <s v="102036"/>
        <s v="102037"/>
        <s v="102038"/>
        <s v="102039"/>
        <s v="102042"/>
        <s v="102043"/>
        <s v="102044"/>
        <s v="102045"/>
        <s v="102046"/>
        <s v="102047"/>
        <s v="102048"/>
        <s v="102049"/>
        <s v="102050"/>
        <s v="102051"/>
        <s v="102066"/>
        <s v="102067"/>
        <s v="102068"/>
        <s v="102069"/>
        <s v="102071"/>
        <s v="102072"/>
        <s v="102073"/>
        <s v="102076"/>
        <s v="102080"/>
        <s v="102081"/>
        <s v="102082"/>
        <s v="102083"/>
        <s v="102088"/>
        <s v="102089"/>
        <s v="102090"/>
        <s v="102091"/>
        <s v="102092"/>
        <s v="102093"/>
        <s v="102099"/>
        <s v="102102"/>
        <s v="102103"/>
        <s v="102104"/>
        <s v="102111"/>
        <s v="102112"/>
        <s v="102113"/>
        <s v="102115"/>
        <s v="102117"/>
        <s v="102118"/>
        <s v="102132"/>
        <s v="102137"/>
        <s v="102138"/>
        <s v="102145"/>
        <s v="102149"/>
        <s v="102150"/>
        <s v="102151"/>
        <s v="102152"/>
        <s v="102153"/>
        <s v="102155"/>
        <s v="102156"/>
        <s v="102157"/>
        <s v="102170"/>
        <s v="102175"/>
        <s v="102176"/>
        <s v="102177"/>
        <s v="102178"/>
        <s v="102179"/>
        <s v="102182"/>
        <s v="102183"/>
        <s v="102184"/>
        <s v="102185"/>
        <s v="102187"/>
        <s v="102194"/>
        <s v="102195"/>
        <s v="102196"/>
        <s v="102197"/>
        <s v="102198"/>
        <s v="102199"/>
        <s v="102200"/>
        <s v="102209"/>
        <s v="102210"/>
        <s v="102211"/>
        <s v="102214"/>
        <s v="102215"/>
        <s v="102216"/>
        <s v="102218"/>
        <s v="102219"/>
        <s v="102220"/>
        <s v="102222"/>
        <s v="102224"/>
        <s v="102225"/>
        <s v="102226"/>
        <s v="102227"/>
        <s v="102228"/>
        <s v="102229"/>
        <s v="102231"/>
        <s v="102232"/>
        <s v="102235"/>
        <s v="102236"/>
        <s v="102237"/>
        <s v="102238"/>
        <s v="102239"/>
        <s v="102240"/>
        <s v="102241"/>
        <s v="102242"/>
        <s v="102243"/>
        <s v="102244"/>
        <s v="102246"/>
        <s v="102247"/>
        <s v="102249"/>
        <s v="102250"/>
        <s v="102251"/>
        <s v="102252"/>
        <s v="102254"/>
        <s v="102256"/>
        <s v="102257"/>
        <s v="102259"/>
        <s v="102261"/>
        <s v="102262"/>
        <s v="102266"/>
        <s v="102268"/>
        <s v="102269"/>
        <s v="102270"/>
        <s v="102271"/>
        <s v="102272"/>
        <s v="102273"/>
        <s v="102274"/>
        <s v="102275"/>
        <s v="102277"/>
        <s v="102278"/>
        <s v="102280"/>
        <s v="102281"/>
        <s v="102282"/>
        <s v="102283"/>
        <s v="102286"/>
        <s v="102287"/>
        <s v="102289"/>
        <s v="102290"/>
        <s v="102291"/>
        <s v="102293"/>
        <s v="102294"/>
        <s v="102295"/>
        <s v="102296"/>
        <s v="102316"/>
        <s v="102329"/>
        <s v="102332"/>
        <s v="102333"/>
        <s v="102358"/>
        <s v="102392"/>
        <s v="102393"/>
        <s v="102425"/>
        <s v="102451"/>
        <s v="102452"/>
        <s v="102453"/>
        <s v="102454"/>
        <s v="102457"/>
        <s v="102458"/>
        <s v="102459"/>
        <s v="102460"/>
        <s v="102461"/>
        <s v="102462"/>
        <s v="102468"/>
        <s v="102486"/>
        <s v="102491"/>
        <s v="102492"/>
        <s v="102507"/>
        <s v="102508"/>
        <s v="102509"/>
        <s v="102526"/>
        <s v="102532"/>
        <s v="102570"/>
        <s v="102571"/>
        <s v="102572"/>
        <s v="102594"/>
        <s v="102597"/>
        <s v="102617"/>
        <s v="102618"/>
        <s v="102619"/>
        <s v="102620"/>
        <s v="102621"/>
        <s v="102622"/>
        <s v="102623"/>
        <s v="102624"/>
        <s v="102625"/>
        <s v="102626"/>
        <s v="102627"/>
        <s v="102628"/>
        <s v="102629"/>
        <s v="102630"/>
        <s v="102631"/>
        <s v="102632"/>
        <s v="102633"/>
        <s v="102634"/>
        <s v="102635"/>
        <s v="102636"/>
        <s v="102637"/>
        <s v="102638"/>
        <s v="102639"/>
        <s v="102640"/>
        <s v="102641"/>
        <s v="102642"/>
        <s v="102643"/>
        <s v="102644"/>
        <s v="102645"/>
        <s v="102652"/>
        <s v="102653"/>
        <s v="102654"/>
        <s v="102664"/>
        <s v="102665"/>
        <s v="102681"/>
        <s v="102682"/>
        <s v="102683"/>
        <s v="102699"/>
        <s v="102700"/>
        <s v="102701"/>
        <s v="102702"/>
        <s v="102705"/>
        <s v="102706"/>
        <s v="102707"/>
        <s v="102713"/>
        <s v="102720"/>
        <s v="102722"/>
        <s v="102727"/>
        <s v="102728"/>
        <s v="102729"/>
        <s v="102730"/>
        <s v="102737"/>
        <s v="102746"/>
        <s v="102753"/>
        <s v="102754"/>
        <s v="102757"/>
        <s v="102758"/>
        <s v="102759"/>
        <s v="102760"/>
        <s v="102761"/>
        <s v="102762"/>
        <s v="102763"/>
        <s v="102764"/>
        <s v="102769"/>
        <s v="102776"/>
        <s v="102777"/>
        <s v="102778"/>
        <s v="102779"/>
        <s v="102780"/>
        <s v="102781"/>
        <s v="102783"/>
        <s v="102795"/>
        <s v="102797"/>
        <s v="102798"/>
        <s v="102799"/>
        <s v="102800"/>
        <s v="102801"/>
        <s v="102802"/>
        <s v="102803"/>
        <s v="102804"/>
        <s v="102809"/>
        <s v="102810"/>
        <s v="102811"/>
        <s v="102812"/>
        <s v="102813"/>
        <s v="102814"/>
        <s v="102815"/>
        <s v="102816"/>
        <s v="102818"/>
        <s v="102819"/>
        <s v="102820"/>
        <s v="102821"/>
        <s v="102822"/>
        <s v="102823"/>
        <s v="102824"/>
        <s v="102825"/>
        <n v="102826"/>
        <s v="102826"/>
        <s v="102827"/>
        <s v="102828"/>
        <s v="102857"/>
        <s v="102858"/>
        <s v="102859"/>
        <s v="102860"/>
        <s v="102861"/>
        <s v="102862"/>
        <s v="102863"/>
        <s v="102864"/>
        <s v="102865"/>
        <s v="102866"/>
        <s v="102867"/>
        <s v="102868"/>
        <s v="102870"/>
        <s v="102872"/>
        <s v="102873"/>
        <s v="102874"/>
        <s v="102875"/>
        <s v="102876"/>
        <s v="102877"/>
        <s v="102878"/>
        <s v="102879"/>
        <s v="102880"/>
        <s v="102884"/>
        <s v="102892"/>
        <s v="102893"/>
        <s v="102894"/>
        <s v="102896"/>
        <s v="102897"/>
        <s v="102898"/>
        <s v="102899"/>
        <s v="102900"/>
        <s v="102901"/>
        <s v="102907"/>
        <s v="102908"/>
        <s v="102909"/>
        <s v="102910"/>
        <s v="102911"/>
        <s v="102912"/>
        <s v="102913"/>
        <s v="102915"/>
        <s v="102916"/>
        <s v="102917"/>
        <s v="102920"/>
        <s v="102922"/>
        <s v="102924"/>
        <s v="102925"/>
        <s v="102926"/>
        <s v="102927"/>
        <s v="102933"/>
        <s v="102934"/>
        <s v="102935"/>
        <s v="102936"/>
        <s v="102937"/>
        <s v="102939"/>
        <s v="102940"/>
        <s v="102941"/>
        <s v="102942"/>
        <s v="102943"/>
        <s v="102945"/>
        <s v="102949"/>
        <s v="102953"/>
        <s v="102958"/>
        <s v="102972"/>
        <s v="102976"/>
        <s v="102978"/>
        <s v="102979"/>
        <s v="102980"/>
        <s v="102981"/>
        <s v="103001"/>
        <n v="103003"/>
        <s v="103004"/>
        <s v="103005"/>
        <s v="103015"/>
        <s v="103016"/>
        <s v="103026"/>
        <s v="103027"/>
        <s v="103028"/>
        <s v="103029"/>
        <s v="103032"/>
        <s v="103033"/>
        <s v="103034"/>
        <s v="103035"/>
        <s v="103036"/>
        <s v="103037"/>
        <s v="103059"/>
        <s v="103060"/>
        <s v="103061"/>
        <s v="103062"/>
        <s v="103063"/>
        <s v="103064"/>
        <s v="103065"/>
        <s v="103066"/>
        <s v="103067"/>
        <s v="103068"/>
        <s v="103069"/>
        <s v="103070"/>
        <s v="103071"/>
        <s v="103072"/>
        <s v="103073"/>
        <s v="103074"/>
        <s v="103086"/>
        <s v="103087"/>
        <s v="103089"/>
        <s v="103110"/>
        <s v="103111"/>
        <s v="103112"/>
        <s v="103113"/>
        <s v="103114"/>
        <s v="103115"/>
        <s v="103116"/>
        <s v="103117"/>
        <s v="103118"/>
        <s v="103119"/>
        <s v="103123"/>
        <s v="103125"/>
        <s v="103128"/>
        <s v="103129"/>
        <s v="103130"/>
        <s v="103131"/>
        <s v="103136"/>
        <s v="103138"/>
        <s v="103139"/>
        <s v="103141"/>
        <s v="103146"/>
        <s v="103147"/>
        <s v="103148"/>
        <s v="103149"/>
        <s v="103154"/>
        <s v="103155"/>
        <s v="103156"/>
        <s v="103157"/>
        <s v="103160"/>
        <s v="103161"/>
        <s v="103162"/>
        <s v="103163"/>
        <s v="103164"/>
        <s v="103165"/>
        <s v="103168"/>
        <s v="103169"/>
        <s v="103170"/>
        <s v="103171"/>
        <s v="103172"/>
        <s v="103173"/>
        <s v="103175"/>
        <s v="103176"/>
        <s v="103177"/>
        <s v="103178"/>
        <s v="103179"/>
        <s v="103180"/>
        <s v="103182"/>
        <s v="103184"/>
        <s v="103185"/>
        <s v="103186"/>
        <s v="103187"/>
        <s v="103188"/>
        <s v="103189"/>
        <s v="103190"/>
        <s v="103191"/>
        <s v="103192"/>
        <s v="103193"/>
        <s v="103194"/>
        <s v="103195"/>
        <s v="103196"/>
        <s v="103197"/>
        <s v="103198"/>
        <s v="103199"/>
        <s v="103201"/>
        <s v="103202"/>
        <s v="103203"/>
        <s v="103204"/>
        <s v="103205"/>
        <s v="103206"/>
        <s v="103207"/>
        <s v="103208"/>
        <s v="103209"/>
        <s v="103210"/>
        <s v="103211"/>
        <s v="103212"/>
        <s v="103213"/>
        <s v="103214"/>
        <s v="103215"/>
        <s v="103216"/>
        <s v="103217"/>
        <s v="103218"/>
        <s v="103219"/>
        <s v="103220"/>
        <s v="103222"/>
        <s v="103225"/>
        <s v="103226"/>
        <s v="103227"/>
        <s v="103228"/>
        <s v="103229"/>
        <s v="103230"/>
        <s v="103233"/>
        <s v="103234"/>
        <s v="103235"/>
        <s v="103237"/>
        <s v="103276"/>
        <s v="103277"/>
        <s v="103278"/>
        <s v="103279"/>
        <s v="103287"/>
        <s v="103288"/>
        <s v="103291"/>
        <s v="103292"/>
        <s v="103293"/>
        <s v="103302"/>
        <s v="103313"/>
        <s v="103314"/>
        <s v="103315"/>
        <s v="103316"/>
        <s v="103329"/>
        <s v="103330"/>
        <s v="103331"/>
        <s v="103332"/>
        <s v="103333"/>
        <s v="103335"/>
        <s v="103336"/>
        <s v="103337"/>
        <s v="103338"/>
        <s v="103339"/>
        <s v="103340"/>
        <s v="103341"/>
        <s v="103342"/>
        <s v="103343"/>
        <s v="103344"/>
        <s v="103345"/>
        <s v="103346"/>
        <s v="103347"/>
        <s v="103348"/>
        <s v="103349"/>
        <s v="103350"/>
        <s v="103351"/>
        <s v="103352"/>
        <s v="103353"/>
        <s v="103354"/>
        <s v="103355"/>
        <s v="103356"/>
        <s v="103357"/>
        <s v="103358"/>
        <s v="900000000019"/>
        <s v="900000000048"/>
      </sharedItems>
    </cacheField>
    <cacheField name="Subnúmero" numFmtId="0">
      <sharedItems/>
    </cacheField>
    <cacheField name="Denominación del activo fijo" numFmtId="0">
      <sharedItems count="546">
        <s v="IMPRESORA MULTIFUNCIONAL LEXMARK MX421"/>
        <s v="DOBLADORA HIDRAULICA (EN079)"/>
        <s v="ULTRAMAX II 695 PRO AIRLESS"/>
        <s v="CONSOLA DE IMPULSO SERIE HV 2013 - OJO 01728 EQUIP"/>
        <s v="PUENTE GRUA 20 TONELADAS MARCA HYUNDAI (GN017)"/>
        <s v="BASCULA DIGITAL 20 TONELADAS MARCA LEXUS - REF FOX"/>
        <s v="MONTACARGA DE 3 TONELADAS MARCA NISSAN REF MI05150"/>
        <s v="SISTEMA DE AIRE ACONDIONADO MARCA MCQUAY (GN063)"/>
        <s v="EQUIPO DE AIRE ACONDICIONADO MARCA LG INVERTER V -"/>
        <s v="SISTEMA DE AIRE ACONDIONADO MARCA MCQUAY (GN862)"/>
        <s v="COMPUTADOR MARCA DELL LATITUDE 3591 SERIE 51D99S2"/>
        <s v="ESTIBADORA AZUL MARCA HU-LIF  3000 KG SERIAL 16115"/>
        <s v="MAQUINA DE CORTE DE NULEO MTM 1CN008"/>
        <s v="RETROFITTING MAQ CORTE NUCLEO MICRO TOOL"/>
        <s v="ACTUALIZACION SISTEMA OPERATIVO MTM"/>
        <s v="PUENTE GRUA 500 KG"/>
        <s v="BOBINADORA DE BAJA TENSION DIGMOTOR (PE 010)"/>
        <s v="SOLDADOR MARCA SOLTRONIC REF 0292274"/>
        <s v="SOLDADOR DE RESINA MARCA SOLTRONIC (PE015)"/>
        <s v="CORTADORA MARCA MAKITA REFERENCIA JS3201 (PE018)"/>
        <s v="ENRROLLADORA DE MALLA PARA BOBINAS"/>
        <s v="PLATAFORMA (PE007)"/>
        <s v="SUB-ESTACION ELECTRICA DE 13.200 WATS MARCA MTG SE"/>
        <s v="BOBINADORA PREPARACION MANDRIL TRANSTECNO PE012"/>
        <s v="ESTIBADORA AZUL MARCA HU-LIF  3000 KG"/>
        <s v="AUTOCLAVE PLANTA DE IMPREGNACION (PE006)"/>
        <s v="RED. NMRV150 20/1 PAM160B5"/>
        <s v="MOTOR 5.5HP 1800RPM 112B5 IE3"/>
        <s v="RETROFITTING MAQUINA IMPREGNACION RESINA"/>
        <s v="SOLDADOR MARCA MILLER REFERENCIA CST 280 (BN020)"/>
        <s v="BOBINADORA ALTA TENSION RESINA (PE011)"/>
        <s v="MALACATE PARA MOLDES 700 KG (PE019)"/>
        <s v="ESTIBADORA 3 TON AZUL (GN033)"/>
        <s v="BOMBA DE VACIO SV200 (PE003)"/>
        <s v="HORNO DE CURADO RESINA PE009"/>
        <s v="PUENTE GRUA 1 TONELADA POLIPASTO (PE 014) +ADICION"/>
        <s v="ADICION AREA RESINA"/>
        <s v="COMPUTADOR MARCA DELL LATITUDE 3490 SERIE 8GJLWS2"/>
        <s v="PUENTE GRUA 3 TONELADAS MARCA HYUNDAI GN022"/>
        <s v="COMPUTADOR MARCA HP HP PRODESK 400G5 SFF SERIE MXL"/>
        <s v="BANCO CONDEN 20 MVA 69KV DISPROEL 26 MICROFARADIOS"/>
        <s v="BANCO DE CONDENSADORES DE 26 MICROFARADIOS"/>
        <s v="AIRE ACONDICIONADO LG VM242C7 AL004"/>
        <s v="RACK SERVIDOR DE DATOS PRINCIPAL"/>
        <s v="SERVIDOR LENOVO SR 3650  PRINCIPAL"/>
        <s v="MED HUMEDAD Y PUNTO ROCIO VAISALA SN.P1430322"/>
        <s v="UPS APC SPORTE DE ENERGIA PARA SERVIDORES"/>
        <s v="AIRE ACONDICIONADO MARCA LG (GN037)"/>
        <s v="DWR HIK VISION PARA CAMARAS"/>
        <s v="SW HEWLETT PACKARD 1820 24 PUERTOS"/>
        <s v="COMPUTADOR TIPO ESCRITORIO HP PRODESK COREI5 8 DE"/>
        <s v="COMPUTADOR MARCA DELL OPTIPLEX SFF 3050 SERIE 2SX4"/>
        <s v="COMPUTADOR MARCA DELL OPTIPLEX SFF 3050 SERIE 2SK8"/>
        <s v="COMPUTADOR MARCA DELL LATITUDE 3490 SERIE JR5Z1W2"/>
        <s v="COMPUTADOR MARCA DELL LATITUDE 5490 SERIE HH5QQQ2"/>
        <s v="CIRCUITO CERRADO DE TELEVISION PARA 18 CAMARAS NO"/>
        <s v="COMPUTADOR MARCA HP SPECTRE 250 G6 NOTEBOOK PC SER"/>
        <s v="COMPUTADOR MARCA DELL LATITUDE 3490 SERIE GG9LWS2"/>
        <s v="CIRCUITO CERRADO DE TELEVISION PARA 27 CAMARAS ANA"/>
        <s v="SISTEMA DE AIRE ACONDIONADO MARCA LG TIPO INVERTER"/>
        <s v="COMPUTADOR HP ESCRITORIO COREI7 8 GB RAM, DD 1 TB"/>
        <s v="PESA 10 TONELADAS MARCA LEXUS REFERENCIA ZC 6736"/>
        <s v="BATERIA MED. DESCARGAS PARCIALES HV2071 SN.HE251U"/>
        <s v="BANCO DE TRANSFORMADORES PATRON HV1102-1101"/>
        <s v="DIVISOR CAPASITIVO DE 300 KV 86470"/>
        <s v="MULTIMETRO FLUKE 289 TRUE RMS SN.24570186 HV 091"/>
        <s v="SOLDADOR MILLER MULTIPROCESO D-400"/>
        <s v="ESTIBADORA AMARILLA MARCA KTC (GN033)"/>
        <s v="TRANSFORMADOR DE MEDIDA SERIAL 77500113 DE 3.75 VA"/>
        <s v="CAPACITOR ACOPLAMIENTO SN:10025 CK-2-3-1"/>
        <s v="MEDIDOR RESISTENCIA DE AISLAMIENTO EBCHQ HV171"/>
        <s v="SOLDADOR INVERSOR MILLER REFERENCIA CST 280 CH068"/>
        <s v="REACTOR 3.55 MH 85 AMP 415 HZ HV158"/>
        <s v="SOLDADOR MILLER MIG XPS 450 (CH048)"/>
        <s v="SOLDADOR MILLER MIG XPS 450"/>
        <s v="SIERRA SIN FIN HORIZONTAL CH067 BS-712R"/>
        <s v="SOLDADOR REFERENCIA MILLERMATIC 252"/>
        <s v="HORNO DE CURADO PINTURA DE TANQUES REF. CH056"/>
        <s v="HORNO DE CURADO DE PINTURA DE CULATAS REF. CH058"/>
        <s v="CABINA DE PINTURA DE CULATAS REFERENCIA CH057"/>
        <s v="GABINETE, MALLAS SEP. EQUPOS CONTROL ADECUACION PR"/>
        <s v="ADECUACION CAMPO DE PRUEBAS"/>
        <s v="COMPUTADOR HP ESCRITORIO COREI5 8 GB RAM, DD 1 TB"/>
        <s v="AIRE ACONDICIONADO MARCA LG MODELO VM182C7"/>
        <s v="AIRE ACONDICIONADO SALON CHAPISTERIA GN055"/>
        <s v="SERVIDOR 2.40 GIGAHERTZ INTEL XEON 12 GIGAS"/>
        <s v="SERVIDOR DE TELEFONIA INTEL XEON 3.20 GHZ, MEMORIA"/>
        <s v="COMPUTADOR TIPO ESCRITORIO COREI7 16 RAM 1 TERABYT"/>
        <s v="RACK PARA SWITCHES"/>
        <s v="COMPUTADOR MARCA DELL OPTIPLEX SFF 3050 (LEASING)"/>
        <s v="SW CISCO CATALYST 2960XR 24 PUERTOS"/>
        <s v="SW CISCO CATALYST 2960 X 24 PUERTOS"/>
        <s v="SW 2960X DE 24 PUERTOS CISCO"/>
        <s v="NAS SINOLOGY DS1817+ SERVIDOR PARA BACKUPS"/>
        <s v="ROUTER CISCO 4300 CONTROLADOR DE SEGURIDAD PERIMET"/>
        <s v="ACCESS POINT WIRELESS CISCO"/>
        <s v="CONTROLADORA CISCO PARA WIFI MODLO 3504"/>
        <s v="SW 2960 X DE 48 PUERTOS CISCO"/>
        <s v="SW CISCO CATALYST 2960XR 48 PUERTOS"/>
        <s v="COMPUTADOR PORTATIL COREI7 MARCA HP CON 8 GIGABYTE"/>
        <s v="VACUOMETRO GAUGE"/>
        <s v="EXTRACTOR DE GASES TECHO CH083"/>
        <s v="PORTATIL ASUS CORE I7 8 DE RAM, SSD"/>
        <s v="CHISPOMETRO DPA 75 C ACCU BAUR HV 301"/>
        <s v="DISCO 1.8 TB SERVIDOR LENOVO SR 650"/>
        <s v="APILADOR ELECTRICO XI"/>
        <s v="PUENTE GRUA 2 TON HYUNDAI"/>
        <s v="PUENTEGRUA 2 TON. POLIPASTO PE008 EQUIPO 10132222"/>
        <s v="AIRE ACONDICIONADO P.2        1524ME0228"/>
        <s v="BISELADORA 601753620"/>
        <s v="COMPUTADOR PORTATIL COREI7 8A GENERACION 8GB RAM 1"/>
        <s v="COMPUTADOR MARCA HP 250 G6 NOTEBOOK PC SERIE CND84"/>
        <s v="AIRE ACONDICION.MINI SPLIT"/>
        <s v="SISTEMA DE AIRE ACONDICIONADO MARCA LG INVERTER V"/>
        <s v="MAQUINA DE CORTE DE NUCLEO MTM 2 CN010"/>
        <s v="COMPRESOR TORNILLO KAESER SK20 SIGMA GN071"/>
        <s v="ANALIZADOR RESPUESTA FRANEO 800 HV2301 SN.FJ523U"/>
        <s v="COMPUTADOR MARCA ASUS MODELO X542UF-GQ484 SERIE JA"/>
        <s v="PLANTA GASOLINA ELITE"/>
        <s v="MAQUINA ROSCADORA DE TUBERIA"/>
        <s v="COMPUTADOR MARCA DELL LATITUDE 3590 SERIE D2779S2"/>
        <s v="COMPUTADOR MARCA LENOVO THINKPAD X1-CARBON"/>
        <s v="TRAFO CAMPO PRUEBAS 17 KVA SN.57490120"/>
        <s v="TRAFO CAMPO PRUEBAS 50 KVA SN.57480120"/>
        <s v="MED RESISTENCIA AISLAMIENTO KIORITSU SN.W8334148"/>
        <s v="HORNO DE SECADO GAGKL-267-19 PE021"/>
        <s v="COCINA INTEGRAL COMPRAS 3 P"/>
        <s v="BASCULA PARA CORTE HORNO"/>
        <s v="GABINETE VARIAC  POWERSTAT"/>
        <s v="SISTEMA DE EXTRACCION HUMOS PE020"/>
        <s v="ARON S.A.S"/>
        <s v="MPS MAYORISTA DE COLOMBIA S.A."/>
        <s v="SUPERIOR RECTA ESCRITORIO"/>
        <s v="ESCRITORIO DE 3 PUESTOS METALICO Y MADERA"/>
        <s v="ARCHIVADOR METALICO 2 PUERTAS"/>
        <s v="ESCRITORIO RECTA EN MADERA BASE METALICA"/>
        <s v="1 ARCHIVADOR CON 3 CAJONERAS Y 1 RECTA EN MADERA B"/>
        <s v="ARCHIVADOR METALICO 3 MODULOS ESCRITORIO EN MADERA"/>
        <s v="PISTOLA NEUMATICA SENCO REF PAL90 (HU007)"/>
        <s v="PISTOLA NEUMATICA SENCO (HU002)"/>
        <s v="ESCRITORIO EN MADERA CON RECTA DE VIDRIO"/>
        <s v="SILLAS MODULARES CON RODACHINES NEGRA Y AZUL 2UN"/>
        <s v="ARCHIVADOR DE 3 MODULOS EN MADERA"/>
        <s v="ARCHIVADOR METALICO 2 MODULOS CON SUPERIOR RECTA E"/>
        <s v="ARCHIVADOR METALICO 3 MODULOS CON SUPERIOR RECTA E"/>
        <s v="ARCHIVADOR METALICO 3 MODULOS CON ESCRITORIO EN MA"/>
        <s v="2 ARCHIVADORES METALICOS CADA UNO 3 MODULOS CON SU"/>
        <s v="SILLAS DE ESCRITORIO 3 AZULES Y UMA 4UN"/>
        <s v="ARCHIVADOR METALICO 2 MODULOS"/>
        <s v="ESCRITORIO EN MADERA DOS MODULOS TAPA GRIS"/>
        <s v="ARCHIVADOR METALICO 2 MODULOS EN MADERA"/>
        <s v="2 ARCHIVADORES METALICOS CADA UNA CON 3 CAJONERAS"/>
        <s v="ARCHIVADOR METALICO 2 GABINETES COLOR GRIS"/>
        <s v="2 RECTAS EN MADERA CON BASE METALICA"/>
        <s v="TALADRO DE BANCO MARCA HITACHI (ST007)"/>
        <s v="MESA REDONDA EN MADERA CON VIDRIO"/>
        <s v="ESCRITORIO MADERA OFICINA ALMACEN"/>
        <s v="ARCHIVADOR METALICO TRES MODULOS"/>
        <s v="TRANSFORMADORES DE POTENCIAL  SERIE 580301B"/>
        <s v="TRANSFORMADORES DE POTENCIAL  SERIE 580302B"/>
        <s v="TRANSFORMADORES DE POTENCIAL  SERIE 580303B"/>
        <s v="ARCHIVADOR METALICO 4 GABINETES COLOR GRIS"/>
        <s v="ARCHIVADOR METALICO 4 GABINETES COLOR GRIS OSCURO"/>
        <s v="CT ANALYZER MARCA OMICRON HV 3200"/>
        <s v="RUTEADORA MARCA PERLES SERIAL 07060013 (EN044)"/>
        <s v="CLOSET DE MADERA - ARCHIVADOR"/>
        <s v="ESCRITORIO 2 MODULOS CON ARCHIVADOR METALICO"/>
        <s v="SILLAS GIRATORIAS DE OFICINA 5UN"/>
        <s v="MESA RECTANGULAR EN MADERA CON VIDRIO"/>
        <s v="ARCHIVADOR EN MADERA COLOR MARMOL 12 PUESTOS"/>
        <s v="ARCHIVADOR MADERA DOS MODULOS"/>
        <s v="CONTROL DE EXTRACTORES MONOFASICOS"/>
        <s v="ARCHIVADOR METALICO PUERTA CORREDIZA"/>
        <s v="ARCHIVADOR PUERTA CORREDIZA METALICO"/>
        <s v="SISTEMA DE AIRE ACONDICIONADO MARCA COMFORT STYLE"/>
        <s v="SILLAS DE OFICINA CON RODACHINES 4 AZULES Y 1 NE 5"/>
        <s v="NEVERA MARCA HACEB"/>
        <s v="TRANSFORMADOR DE 112.5 KVA HVA 155"/>
        <s v="SILLA GIRATORIA OFICINA (7 UNIDADES)"/>
        <s v="ESTANTERIA METALICA 4 MODULOS"/>
        <s v="ESTANTERIAS DE 6 PUESTOS 39 UNIDADES (ARCHIVO HIST"/>
        <s v="SILLAS MODULARES CON RODACHINES COLOR NEGRO 14UN"/>
        <s v="TRANSFORMADORES DE CORRIENTE  15 VA SERIE 91090109"/>
        <s v="TRANSFORMADORES DE CORRIENTE  15 VA SERIE 91090209"/>
        <s v="TRANSFORMADORES DE CORRIENTE  15 VA SERIE 91090309"/>
        <s v="AUTOTRANSFORMADOR 104 KVA SN:42560111 HV153"/>
        <s v="TRANSFORMADORES DE CORRIENTE  5 VA SERIE 91090409"/>
        <s v="TRANSFORMADORES DE CORRIENTE  5 VA SERIE 91090509"/>
        <s v="TRANSFORMADORES DE CORRIENTE  5 VA SERIE 91090609"/>
        <s v="TRITURADOR DE PAPEL MARCA MARTIN YALE 2000 CC"/>
        <s v="TRAFO DE MEDIDA 3.75 VA SERIAL 45540318 HV V259"/>
        <s v="TRAFO DE MEDIDA 3.75 SERIAL 45540218 VA HV258"/>
        <s v="TRAFO DE MEDIDA 3.75 SERIAL 45540118 VA HV257"/>
        <s v="AUTOTRANSFORMADOR DE 230 KVA HV151"/>
        <s v="TRANSFORMADOR 30 KVA 3AE ALTO VOLTAJE HV154"/>
        <s v="DIVISOR RESISTIVO SERIE 15298"/>
        <s v="SILLAS MODULARES CON RODACHINES COLOR NEGRO 11UN"/>
        <s v="TRANSFORMADOR DE 30 KVA ALTA CORRIENTE HV143A"/>
        <s v="BIBILIOTECA MADERA 48 MODULOS"/>
        <s v="PUENTE GRUA 1 TONELADA POLIPASTO IM002"/>
        <s v="TRANSFORMADOR DE 75 KVA SN:56400112 HV144"/>
        <s v="TRANSFORMADOR DE 75 KVA  MARCA WEG"/>
        <s v="MOTOGENERADOR SANYO ELÉCTRICO CO LTD 461491 - HV12"/>
        <s v="ESTIBADORA AMARILLA MARCA HU-LIFT  3000 KG (GN067)"/>
        <s v="SIERRA SIN FIN HORZ BS-712N METAL BAND SAW S AL005"/>
        <s v="CEPILLO ELECT. MAKITA REF 2012 NB022"/>
        <s v="CIZALLA DE PEDAL MODELO FH52/18 (BN011)"/>
        <s v="ESTANTERIA METALICA PARA ALMACENAMIENTO DE MATERIA"/>
        <s v="CONTROL DISPOSITIVOS DE SEGUIMIENTO Y MEDICION SER"/>
        <s v="TRANSFORMADOR DE ALTA TENSIÓN DE 15 KVA"/>
        <s v="BANCO DE CONDENSADORES 6MVA 34.5 KV HV916"/>
        <s v="TRANSFORMADOR TRIFÁSICO SECO"/>
        <s v="10 MESONES EN MADERA CON BASE METALICA"/>
        <s v="FUENTE DE 100 KV PARA EQUIPO DE IMPULSO HV 2012A"/>
        <s v="BOBINADORA AT-BT SIMPLE (BN005)"/>
        <s v="PUNZONADORA HIDRAULICA MARCA ENERPAC (EN073)"/>
        <s v="CIZALLA CORTE MANUAL TIPO KGM1015 SERIAL2010 BN021"/>
        <s v="COMPRESOR TORNILLO COMPAIR ESTACIONARIO 15 GN001"/>
        <s v="SOLDADOR MILLER REF CST280 CH022"/>
        <s v="SOLDADOR MULTIFUNCIONAL MILLER XMT 350 CH049"/>
        <s v="SOLDADOR INVERSOR MILLER REF CST280 CH032"/>
        <s v="ESTANTERIAS METALICAS PARA LAMINILLA DE COBRE 34UN"/>
        <s v="TALADRO DE BANCO TOTECH REF 45E CON CAJA DE PIÑON"/>
        <s v="BOBINADORA MAXEI TIPO 11C 500 (BN007)"/>
        <s v="SOLDADOR MILLER XMT 350"/>
        <s v="SIERRA SIN FIN VERTICAL OAV SBW-4300A EN080"/>
        <s v="MOTOGENERADOR 100 HP-75 KVA SN:KR411050 - MO HV121"/>
        <s v="ESTANTERIAS METALICAS PARA ALAMBRE (60 UNIDADES)"/>
        <s v="PUNZONADORA - DOBLADORA HIDRAULICA (EN015)"/>
        <s v="TRANSFORMADOR DE 30 KVA 1 AE"/>
        <s v="POLIPASTO DE 3 TON CORTE NAVE 1 ATRAS"/>
        <s v="PUENTE GRUA DE 3 TONELADAS TKX (GN065)"/>
        <s v="PUENTE GRUA 5TON BODEGA 1 NAVE 1 ADEL GN016"/>
        <s v="AUMENTO DE CAPACIDAD POLIPASTO PARA 5 TON"/>
        <s v="COPA CHISPOMETRO BAUR ASTM D1816"/>
        <s v="COPA CHISPOMETRO BAUR ASTM D877"/>
        <s v="BOBINADORA BROOMFIEL 500 A"/>
        <s v="BOBINADORA  A.C.E (BN001)"/>
        <s v="BOMBA DE VACIO MARCA EDWARDS ES65"/>
        <s v="BOBINADORA BROOMFIELD 600 (BN018)"/>
        <s v="TTR MONOFASICO MED TRANSFORMADOR RAYTECH HV110"/>
        <s v="HORNO DE CURADO PREMAC 2 IM003"/>
        <s v="HORNO DE CURADO PREMAC (EN012)"/>
        <s v="BOBINADORA BROOMFIELD 600 A"/>
        <s v="ESTANTERIA CASCAS ENCAPSULADOS"/>
        <s v="PUENTE GRUA 5TON HYUNDAI (GN011)"/>
        <s v="PUENTE GRUA 5 TON HYUNDAI (GN044)"/>
        <s v="PUENTE GRUA 3 TON BOD. 2 NAVE 1 ATRÁS GN043"/>
        <s v="PUENTE GRUA 13 TONELADAS GH (GN010)"/>
        <s v="PUENTE GRUA 5 TONELADAS HYUNDAI CH054"/>
        <s v="PUENTE GRUA 5 TONELADAS TXK CH044"/>
        <s v="PLANTA PARA TRATAMIENTO DE ACEITE"/>
        <s v="CNC ROUTER MR1530-F - MAQUINA COMPUTARIZADA GN072"/>
        <s v="MEDIDOR DE TEMPERATURA NEOPTIX OFX-2 OMNIFLEX-2"/>
        <s v="SineWave Guardian,208-240vac,0-60Hz,250Amps,Modula"/>
        <s v="GABINETE POTENCIA VARIAC 62.4 KVA POWERSTAT HV132"/>
        <s v="BOBINADORA TUBOLY M-3780 BT PE025. EQUIPO 10153019"/>
        <s v="MOLDE INYECCION PLASTICA PARA FABRICAR CALZO CIRCU"/>
        <s v="MOLDE INYECCION PLASTICA PARA FABRICAR EMPAQUE CIR"/>
        <s v="CORTADORA PLASMA POWER MAX 30XP"/>
        <s v="BOBINADORA TUBOLY ALTA TENSION PE024 EQIP 10138882"/>
        <s v="COMPLEMENTO BOBINADORA AT TUBOLY FHVT 150-1"/>
        <s v="MOLDE INYECCION PLASTICA PARA FABRICAR CALZO SOPOR"/>
        <s v="MOLDE INYECCION PLASTICA PARA FABRICAR CALZO PIN I"/>
        <s v="MOLDE INYECCION PLASTICA PARA FABRICAR CALZO EMPAQ"/>
        <s v="LAPTOP LENOVO THINKPAD E14 20RBS35T00"/>
        <s v="Computador portatil I7, SSD 500 GB, WIN 10 PRO, 8"/>
        <s v="Computador tipo escritorio I7, 16 GB RAM, SSD 256"/>
        <s v="Computador tipo escritorio 5, 16 GB RAM, WIN 10 PR"/>
        <s v="Computador tipo escritorio Superior 7, Decima gene"/>
        <s v="Circuito cerrado de television BODEGAS WEG"/>
        <s v="LICENCIA SOLIDWORKS STANDARD"/>
        <s v="THINKPAD X1 CARBON GEN 10 COREI5"/>
        <s v="AIRE ACONDICIONADO GERENCIA INDUSTRIAL"/>
        <s v="AIRE ACONDICIONADO PRODUCCION"/>
        <s v="Latitude 34202 40CV2 40CV Portatil"/>
        <s v="Computador tipo escritorio, CORE I5 Generación 11"/>
        <s v="Dinamómetro lineal con capacidad 50ton"/>
        <s v="RED VOZ Y DATOS REMODELACION CERTIFICACIONES Y CA"/>
        <s v="Red voz y datos remodelación, certificaciones y ca"/>
        <s v="Computador CORE I5, HDD 500 GB, WIN 10 PRO, 6 GB R"/>
        <s v="Computador CORE I5, HDD 500 GB, WIN 10 PRO, 8 GB R"/>
        <s v="SIERRA SINFÍN VERTICAL CNC"/>
        <s v="DISPOSITIVO ISAJE PARA TRANSFORMADORES PESO &gt;40TON"/>
        <s v="BOMBA DE ALTO VACIO NKVW 1083 M3/H"/>
        <s v="ARCHIVO RODANTE"/>
        <s v="FOLDERAMA DE 5 ENTRADAS GRAD. M/PLAT."/>
        <s v="MUEBLES Y ENSERES RECEPCION (ESCRITORIOS)"/>
        <s v="OFICINA SALA DE JUNTAS ESCRITORIOS Y AUXILIARES"/>
        <s v="CREDENZA NOVA T 2.00 X 0.60 FORMICA"/>
        <s v="ESCRITORIO NOVA 2.00 X 2.00  IZQ. FORMICA Y AUXILI"/>
        <s v="MESA DE JUNTAS NOVA 1.80 X 0.90 FORMICA"/>
        <s v="CAJONERAS, ESCRITORIO REMOD. RRHH ESCRITORIOS"/>
        <s v="MUEBLES Y ENSERES DISEÑO (ESCRITORIOS)"/>
        <s v="MUEBLES, CAJONERAS REMOD. DISENO, RRHH GER INDUS"/>
        <s v="RACK Y OFICINA TI"/>
        <s v="MUEBLES Y ENSERES ASISTENCIA TECNICA  (ESCRITORIOS"/>
        <s v="MUEBLES Y ENSERES PCP (ESCRITORIO)"/>
        <s v="MUEBLES Y ENSERES CONTABILIDAD (ESCRITORIO)"/>
        <s v="MUEBLES Y ENSERES PRODUCCION (ESCRITORIO)"/>
        <s v="MUEBLES Y ENSERES (PORTERIA)"/>
        <s v="MUEBLES Y ENSERES COMPRAS  (ESCRITORIO)"/>
        <s v="OFICINA GERENCIA VENTAS Y AUXILIARES Y PUERTA VID"/>
        <s v="AIRE ACONDICIONADO LG 24000 BTU "/>
        <s v="MOLDE DE INYECCION CALZO CIRCULAR 80MM"/>
        <s v="CIZALLA MULTIPLE M55 EN083"/>
        <s v="JUEGO DE PUNZONES PARA CIZALLA M55"/>
        <s v="MAQUINA LASER DE FIBRA"/>
        <s v="PORTATIL DELL 3420 CORE i5"/>
        <s v="PORTATIL DELL LATITUDE 3420"/>
        <s v="EQUIPO MEDICION TESTRANO HV2350"/>
        <s v="EQUIPO MEDICION FRANEO 800 HV2303"/>
        <s v="EQUIPO MEDICION DIRANA"/>
        <s v="DELL LATITUDE 34200FH1Y"/>
        <s v="ESTIBADORA MANUAL 5 TON "/>
        <s v="6YY0T/ DELL 3080 MFF 1TB+256M2"/>
        <s v="BLOQUE SECO DE TEMPERATURA HART SCIENTIFIC"/>
        <s v="MANDRIL EXPANSIBLE 195-300MM DIAMETRO"/>
        <s v="MANDRIL EXPANSIBLE 300-450MM DIAMETRO"/>
        <s v="MANDRIL EXPANSIBLE 440-700MM DIAMETRO"/>
        <s v="COMPUTADOR PORTATIL DELL LATITUDE 3420"/>
        <s v="GABIENETE TERMICO M-1594 CALENTADOR ALMUERZO 8"/>
        <s v="MULTIMETRO DIGITAL FLUKE 289 TRUE RMS SN.575500"/>
        <s v="MULTIMETRO FLUKE 289 TRUE RMS SN.57550067 HV 074"/>
        <s v="EXTRACTOR DE POLVO HOLY TEK 2 SALIDAS 2HP"/>
        <s v="SOLDADOR 450 XMT MILLER"/>
        <s v="FLEJADORA NEUMATICA P380 FROOM 19MM"/>
        <s v="LAPTOP DELL LATITUDE 3420 I5 G7 SSD 250GB 8GB"/>
        <s v="0FH1Y /DELL 3420 SSD480GB/ PAOLA ARANGO"/>
        <s v="0FH1Y /DELL 3420 SSD480GB/ PAULA CADAVID"/>
        <s v="LAPTOP DELL 5420 M2 N2HTG 512GB P/ FERNANDO PROCES"/>
        <s v="5XCFF/DELL 7090SFF / HECTOR PAJON"/>
        <s v="CAMIONETA VOLVO XC60 B5 MOMENTUM"/>
        <s v="COMPUTADORA DESKTOP DELL OPTIPLEX 7090 CAMILO MESA"/>
        <s v="COMPUTADORA DESKTOP DELL OPTIPLEX 7090 YEBRI NOVOA"/>
        <s v="COMPUTADORA DESKTOP DELL OPTIPLEX 7090 JOHNNY"/>
        <s v="COMPUTADORA DESKTOP DELL OPTIPLEX 7090 ARMANDO"/>
        <s v="SOLDADOR MULTIFUNCIONAL MILLER XMT 450"/>
        <s v="DISPOSITIVO DOBLADOR CABLE TRANSPUESTO"/>
        <s v="COMPUTADORA PORTATIL DELL LATITUDE 3420 I7"/>
        <s v="TALADRO MAGNETICO INALAMBRICO MILWAUKEE 2787-22HD"/>
        <s v="MOLDE CALZO BARRERA 80MM INYECCION PLASTICA DE"/>
        <s v="MOLDE CALZO SUPERIOR ENCAJE 80MM INYECCION"/>
        <s v="MOLDE CALZO INFERIOR PIN 80MM INYECCION PLASTICA"/>
        <s v="COMPUTADORA PORTATIL DELL LATITUDE 3420 I5 P/ ROSA"/>
        <s v="COMPUTADORA PORTATIL DELL LATITUDE 3420 I5 P/"/>
        <s v="ZUNCHADORA NEUMATICA 19MM IWISS"/>
        <s v="COMPUTADORA PORTATIL DELL LATITUDE 3420"/>
        <s v="COMPUTADORA DESKTOP DELL SFF CORE I5 400 G6 8 RAM"/>
        <s v="LAPTOP DELL LATITUDE 3420 CORE I5 8 RAM"/>
        <s v="WORKSTATION DELL TORRE 3630 CORE I7 32 RAM 1 TB"/>
        <s v="COMPUTADORA DESKTOP LENOVO M720S CORE I7 16 RAM"/>
        <s v="LAPTOP LENOVO THINKPAD E490 CORE I5 8 RAM 1TB"/>
        <s v="TTR MONOFASICO AUTOMATICO Y OPERADO POR BATERIA"/>
        <s v="HV107 A MEDIDOR DE RELACION DE TRANSFORMACION TTR"/>
        <s v="SOLDADOR DE PERNOS ARC1201"/>
        <s v="AIRE ACONDICIONADO AREA PCP"/>
        <s v="ZUNCHADORA NEUMATICA"/>
        <s v="RETROFITTING CABINA DE PINTURA TANQUES CH055"/>
        <s v="CABINA DE PINTURA TANQUES CH055"/>
        <s v="BOMBA HIDRONEUMATICA TIPO PEDAL CON 2 PALANCAS"/>
        <s v="CILINDRO HIDRAULICO 5IN ENERPAC CAP 4.9 T"/>
        <s v="LAPTOP DELL LATITUDE 3420 14&quot;HD W10PRO Y OFFICE"/>
        <s v="IMPRESORA RICOH M320F LASER MULTIFUNCION"/>
        <s v="EXTRACTOR MOBILEPRO 230V/3/60HZ CON BRAZO"/>
        <s v="SIERRA SINFIN INDUSTRIAL SEMIAUTOMATICA COSEN"/>
        <s v="ESTIBADORA INDUSTRIAL HU-LIFT MANUAL 5 TON"/>
        <s v="CEPILLO ELECTRICO BULL EQUIPMENT CAP 500MM 220V"/>
        <s v="COLECTOR DE POLVO 3 HP 1T"/>
        <s v="SIERRA SIN FIN VERTICAL OAV 4300A 430MM 2.0 HP"/>
        <s v="COLECTOR DE POLVO 2HP 1T"/>
        <s v="ELEVADOR DE CARGA ELECTRICO CAP 9 MTS CON BATERIA"/>
        <s v="TROQUELADORA YANGLIN J23-25B 25 TON"/>
        <s v="COMPUTADOR PORTATIL DELL LATITUDE 5420 P137G-N2HTG"/>
        <s v="MANDRIL EXPANSIBLE 700-950MM DIAMETRO"/>
        <s v="COMPUTADOR PORTATIL DELL LATITUDE 3420 P144G 512G"/>
        <s v="PRENSA HIDRAULICA MANUAL 20 TONELADAS"/>
        <s v="TELEVISOR SMART SAMSUNG LED 55 CRYSTAL UHD 4K"/>
        <s v="CAMARA TERMOGRAFICA FLUKE FLK TIS75 9HZ"/>
        <s v="AIRE ACONDICIONADO LG INVERTER FAN COIL 30000 BTU"/>
        <s v="AIRE ACONDICIONADO LG INVERTER SPLIT 12000 BTU"/>
        <s v="MED AISLAM OHM KIORITSU 12KV 35TERA SN.E0209628"/>
        <s v="MED AISLAM OHM KYORITSU 5KV 35TERA SN.W8398647"/>
        <s v="MED AISLAM OHM KYORITSU 5KV 35TERA SN.W8410735"/>
        <s v="ESTIBADORA MANUAL HU LIFT 5 TONELADAS"/>
        <s v="CALIBRADOR DE DESCARGAS PARCIALES HV2073A"/>
        <s v="PINZA AMPERIMETRICA HIOKI CC P2000 CM4375-92"/>
        <s v="COMPUTADOR PORTATIL DELL LATITUDE 3420 Y OFFICE 21"/>
        <s v="SIERRA COLILLADORA INGLETEADORA 12&quot; DEWALT DWS715"/>
        <s v="PISTOLA DE CALOR SOLANO AT 120V/1800W US PLUG"/>
        <s v="COMPUTADOR PORTATIL DELL LATITUDE 3420 8GB RAM"/>
        <s v="DESKTOP DELL OPTIPLEX 7090 SFF D15S-R4JC6 8GB RAM"/>
        <s v="DESKTOP DELL OPTIPLEX SFF 3090 BTS I3 8GB RAM"/>
        <s v="LAPTOP DELL LATITUDE 3420 8GB RAM"/>
        <s v="AIRE ACONDICIONADO LG INVERTER MINISPLIT 12000 BTU"/>
        <s v="LAPTOP DELL LATITUDE 3420 16GB RAM 14&quot; HD W10 PRO"/>
        <s v="CONJUNTO DE HERRAMIENTAS DE NYLON AREA BOBINADO"/>
        <s v="COLECTOR DE POLVO 5 HP BULL 3F FM300S-5"/>
        <s v="AFILADOR DE BROCAS VERTEX VDG-13A-221"/>
        <s v="COLECTOR DE POLVOS 2 HP BULL 220V"/>
        <s v="AIRE ACONDICIONADO MINI SPLIT LG VS122C7 12000 BTU"/>
        <s v="WORKSTATION DELL PRECISION 3260 CFF I7 16GB RAM"/>
        <s v="ACOLILLADORA INGLETEADOR DWS780 12-15 AMP DW718"/>
        <s v="PUENTE GRUA HYUNDAI CAP 3 TON"/>
        <s v="DESTAPADORA MILWAOKEE 2572B M12 AIRSNAKE"/>
        <s v="DESKTOP DELL OPTIPLEX SFF 7010 I5 16GB RAM"/>
        <s v="HERRAMIENTA ZUPPER ED-400 P/ PRENSADO DE CABLE"/>
        <s v="HERRAMIENTA ZUPPER ED-85C P/ CORTE"/>
        <s v="HERRAM. ZUPPER PZ-240 P/ PRENSADO CABLE HIDRAULICO"/>
        <s v="PRENSADORA HIDRAULICA 8 CILINDROS CAP 5TON 2500PSI"/>
        <s v="LAPTOP DELL LATITUDE 3420 I5 16GB RAM"/>
        <s v="PUENTE GRUA 5 TON HYUNDAI GN021"/>
        <s v="MEDIDOR DE RESISTENCIA NTI MRD-50-10"/>
        <s v="CONJUNTO CILINDRO HIDRAULICO ENERPAC"/>
        <s v="SACABOCADO  MILWAUKEE M18 LOGIC 10T"/>
        <s v="LAPTOP DELL LATITUDE 3420 I5 14 HD"/>
        <s v="DOBLADORA DE TUBO HIDRAULICA HTB 1000"/>
        <s v="CONJUNTO DE HERRAMIENTAS 1/0-2/0-4/0"/>
        <s v="MEDIDOR DE HUMEDAD EN EL ACEITE MMP78"/>
        <s v="MEDIDOR DE HUMEDAD E+E ELEKTRONIK"/>
        <s v="MILLER XMT 450 CC/CV AUX POWER"/>
        <s v="LAPTOP DELL LATITUDE 3440 WILFREDO URIBE"/>
        <s v="LAPTOP DELL LATITUDE 3440 JULIANA OCAMPO"/>
        <s v="LAPTOP DELL LATITUDE 3440 ANDRES CASTAÑEDA"/>
        <s v="LAPTOP DELL LATITUDE 3440 ASTEC - VENTAS"/>
        <s v="CALIBRADOR PIE REY 534-104 MITUTOYO"/>
        <s v="MESA ARMADO 2 TON CON GUIAS MECANICAS"/>
        <s v="EQUIPO HIDRAULICO PARA MESA DE ARMADO NUCLEOS"/>
        <s v="KIT INSPECCION POSITECTOR  ESPESOR DEFELSKO"/>
        <s v="LAPTOP DELL LATITUDE 3440 I5 16 GB W11"/>
        <s v="BOX ELECTRIC FURNACE SA2-12TP"/>
        <s v="MEDIDOR TTR OHMETRO RMO-TH"/>
        <s v="DELL WORKSTATION PRECISION MT3660"/>
        <s v="DESKTOP DELL WORKSTATION VOSTRO 3020"/>
        <s v="HORNO A GAS NATURAL CURAR RESINA HEPOXICA"/>
        <s v="BOBINADORA TOROIDAL RWE EVOLUTION MGB TD 400 CON"/>
        <s v="EQUIPO SOPORTE DURANTE EL MONTAGE DE NUCLEO"/>
        <s v="WORKSTATION MICRO TORRE P3660 I7 64 GB"/>
        <s v="MANDRIL EXPANSIVO 195-300"/>
        <s v="MANDRIL EXPANSIVO 300-450"/>
        <s v="MANDRIL EXPANSIVO 440-700"/>
        <s v="BANCO DE CONDENSADORES 4160V ZHIYUE"/>
        <s v="LAPTOP DELL PRECISION I7 64 GB"/>
        <s v="TROMPO TAILOR WOOD TP45"/>
        <s v="PURIFICADOR DE ACEITE VEGETAL HZLY-20 DOBLE ETAPA"/>
        <s v="DOBLADORA DE TUBO HIDRAULICA HTB-1000"/>
        <s v="SOPORTE YUGO 1800MM"/>
        <s v="MANDRIL EXPANSIVO 140-195 MM"/>
        <s v="LAPTOP THINKPAD L14 I7 16 GB 512 GB SSD W11"/>
        <s v="LAPTOP DELL LATITUDE 3540 16 GB W11"/>
        <s v="DESKTOP OPTIPLEX SFF 7010 I5 16 GB W11"/>
        <s v="LAPTOP DELL LATITUDE 3440 I7 16 GB"/>
        <s v="HORNO A GAS 48M3"/>
        <s v="DISPOSITIVOS DE RECONOCIMIENTO FACIAL"/>
        <s v="CISCO CATALYST 9200L 48P4GE"/>
        <s v="WORKSTATION DELL PRECISION 3680 I7 64GB RAM"/>
        <s v="MEDIDOR CAMPO MAGNETICO TLMP-ELF"/>
        <s v="LIJADORA BULL SD6X12"/>
        <s v="ESTRACTOR DE POLVO BULL FM2A"/>
        <s v="PUNZONADO CON AVANCE AUTOMATIZADO CNCC-25"/>
        <s v="LAPTOP LATITUDE 3440 I5 16 GB W11"/>
        <s v="DESKTOP DELL PRECISION 3680MT I7 128GB RAM"/>
        <s v="MEDIDOR DE RESISTENCIA METREL MI 3280"/>
        <s v="WORKSTATION PRECISION 3591 32 GB W11 P3591ULTRA7X4"/>
        <s v="SOLDADOR ESAB GTAW HELIARC 403I MV AC/DC"/>
        <s v="BOMBA HIDRONEUMATICA XA12G ENERPAC 5 T"/>
        <s v="DESKTOP WGMG0 OPTIPLEX 7020 DISEÑO ELECTRICO"/>
        <s v="MEDIDOR KYORITSU KEW3125B"/>
        <s v="PELACABLES RECTANGULAR ABS600"/>
        <s v="LAPTOP DELL 3440 16 GB I5 W11"/>
        <s v="DESKTOP OPTIPLEX SFF 7020 I5 16 GB W11"/>
        <s v="LAPTOP PRECISION 3591 ULTRA 7165H 32GB W11"/>
        <s v="BOBINADORA AT-BTXDE 3T 100RPM"/>
        <s v="MAQUINA BOBINADORA 5 HP MOTOR COAXIAL"/>
        <s v="EQUIPO DOBLADOR PARA CABLE CTC"/>
        <s v="PAPERBOARD BOARD SHEARING MACHINE SLJB-2500SK"/>
        <s v="KIT COMPLETO PARA SANDBLASTING COUTO"/>
        <s v="P3591ULTRA INTEL ULTRA 7 32GB RAM 1TB SSD 15.6P P"/>
        <s v="DELL PRECISION MT 3680 INTEL CORE I7 64GB RAM"/>
        <s v="BOMBA DE VACIO ROTATIVA BA-251 EQUIP SECADO"/>
        <s v="BOBINADORA HORIZONTAL AT 20 MVA N.03- 92739"/>
        <s v="MESA DE MONTAJE DE NUCLEO MF"/>
        <s v="MESA HIDRAULICA MONTAR RECAMARA REATOR"/>
        <s v="MOLDE EXPANSIVO 298 A 528 N.01 - 92817"/>
        <s v="SOLDADORA ESAB 202I PRO"/>
        <s v="BOMBA DE VACIO LEYBOLD SV 630B"/>
        <s v="LAPTOP DELL LATITUDE 3440 I5 32 GB RAM"/>
        <s v="MÁQ DE PONCHADO Y DADOS PARA REDONDEAR"/>
        <s v="MÁQ DE PONCHADO N2 + DADOS P REDONDEAR"/>
        <s v="DELL 3680MT INTELCORE I7 64GB RAM 1TBSSD+512GB HD"/>
        <s v="DELL LATITUDE NK94V I5-1235U 16GB RAM 512GB SSD"/>
        <s v="DESKTOP OPTIPLEX 7020+TARJGRAF/DIS ELEC"/>
        <s v="DESKTOP OPTIPLEX 7020"/>
        <s v="SOLDADOR MILLER XMT450 CC/CV 230/460V COMPLETO"/>
        <s v="ASPIRADORA DE GRANALLA NEUMATICA HELIOS C540"/>
        <s v="CATALYST 9200L 48 PORT POE+ NETWORK"/>
        <s v="￠700 -￠950  EXPANDABLE MANDREL - USABLE LENGTH:"/>
        <s v="￠950 -￠1100 EXPANDABLE MANDREL - USABLE LENGTH:"/>
        <s v="WORSTATION PRECISION 3680 I7 8GB"/>
        <s v="WORSTATION PRECISION 3680 I7 8 GB"/>
        <s v="DELL LATITUDE 5450 ULTRA 5 125U 16GB RAM 1TB SSD"/>
        <s v="VERTICALIZADOR PARA BOBINAS"/>
        <s v="MANDRIL EXPANSIBLE, DIÁMETRO ÚTIL DE 140 A 195 MM"/>
        <s v="LAPTOP DELL LATITUDE 3450 I5 16GB RAM"/>
        <s v="PORTATIL LATITUDE 3450 CORE I5 1335U 512GB SSD"/>
        <s v="PAPERBOARD CYLINDER ROLLING MACHINE MODE"/>
        <s v="FRESADORA DE TORRETA VERTICAL KONDOR 4VH MESA DE"/>
        <s v="TORNO CONVENCIONAL MECANEX CW62140C/3000 MAX"/>
        <s v="CISCO CATALYST 9120AX SERIES"/>
        <s v="LAPTOP DELL PRO MAX 16 I7 U9 32GB RAM"/>
        <s v="LAPTOP DELL LATITUDE 3450 I5 13G"/>
        <s v="LAPTOP LENOVO THINKPAD 14 32GB RAM"/>
        <s v="SOLDADOR MIG/MAG FRONIUS 400I"/>
        <s v="WOSKSTATION DELL PRO MAX T2 INTEL CORE ULTRA 7 265"/>
        <s v="BRAZO ARTICULADO ELECTRICO ZOOMLION ZA14NJE/LI ALT"/>
        <s v="WORKSTATION DELL PRO MAX T2 I7 64GB RAM"/>
        <s v="MAQUINA CORTADORA ELECTRICA ZAPP 1250 TITAN,"/>
        <s v="LAPTOP DELL LATITUDE 3450 CORE I5 1TB SSD 32GB RAM"/>
        <s v="LAPTOP DELL LATITUDE 3450 ALEXISSANABR"/>
        <s v="LAPTOP DELL LATITUDE 3450 /REPOPRACTHSEQ"/>
        <s v="LAPTOP DELL LATITUDE 3450 /REPOALEJANDRO"/>
        <s v="EQ MILLER CST 282 208-575V DINSE"/>
        <s v="LALTOP DELL PRO 14 PC14250 6DWCJ P/NUEVO PCP"/>
        <s v="LALTOP DELL PRO 14 PC14250 6DWCJ P/NUEVO RH"/>
        <s v="LALTOP DELL PRO 14 PC14250 6DWCJ P/NUEVO VENTAS1"/>
        <s v="LALTOP DELL PRO 14 PC14250 6DWCJ P/NUEVO VENTAS2"/>
        <s v="LAPTOP DELL PRO 14 PC 14250 / 6DWCJ/"/>
        <s v="LAPTOP DELL PRO 14 PC 14250/6DWCJ/FACIPROCESOS"/>
        <s v="LAPTOP DELL PRO 15 PV15250 CORE I5 16GB RAM 16GB"/>
        <s v="WS DELL PRO MAX TOWER T2 CORE ULTRA 7 265 - 64GB"/>
        <s v="CONJUNTO INDICADOR DE TEMPERATURA 10 CANALES HV111"/>
        <s v="PINZAS DE CORRIENTE FLUKE I40"/>
        <s v="MEDIDOR DE NIVEL DE RUIDO HV 909A"/>
        <s v="MULTIMETRO FLUKE 289 TRUE RMS SN.42190040 HV090A"/>
        <s v="MULTIMETRO FLUKE 289 TRUE RMS SN.24570196 HV092"/>
        <s v="TERMOHIGRO BAROMETRO DIGITAL MHB-382 SD"/>
        <s v="MED POTENCIA YOKOGAWA WT333E SN.C3UH20019E HV009"/>
        <s v="MED POTENCIA YOKOGAWA REF WT333E SN.C3UG23017E"/>
        <s v="PINZA AMPERIMETRICA MARCA FLUKE 376 FC HV 932"/>
        <s v="OHMETRO DIGITAL CROPICO D02 HV018"/>
        <s v="MEDIDOR RESISTENCIA DEVANADOS-CONTACTOS NTI HV019"/>
        <s v="CPC100 OMICRON HV3100-3101-3102 SN.UG594C"/>
        <s v="ANALIZADOR REDES FLUKE REF.435 HV950 SN.14910023"/>
        <s v="EQUIPO DE IMPULSO 550 KVA HV2011 SERIE 2011"/>
        <s v="FABRICACION DISPOSITIVO DE CARGUE"/>
        <s v="CABINA DE GRANALLADO Y TOLVA DE GRANALLADO"/>
      </sharedItems>
    </cacheField>
    <cacheField name="Capitalizado el" numFmtId="14">
      <sharedItems containsSemiMixedTypes="0" containsNonDate="0" containsDate="1" containsString="0" minDate="2015-01-01T00:00:00" maxDate="2026-04-17T00:00:00"/>
    </cacheField>
    <cacheField name="Val.adq." numFmtId="0">
      <sharedItems containsSemiMixedTypes="0" containsString="0" containsNumber="1" containsInteger="1" minValue="1" maxValue="1516770810"/>
    </cacheField>
    <cacheField name="Amo acum." numFmtId="0">
      <sharedItems containsSemiMixedTypes="0" containsString="0" containsNumber="1" containsInteger="1" minValue="-764943715" maxValue="0"/>
    </cacheField>
    <cacheField name="Val.cont." numFmtId="0">
      <sharedItems containsSemiMixedTypes="0" containsString="0" containsNumber="1" containsInteger="1" minValue="0" maxValue="1140673234"/>
    </cacheField>
    <cacheField name="Moneda" numFmtId="0">
      <sharedItems/>
    </cacheField>
    <cacheField name="Sociedad" numFmtId="0">
      <sharedItems/>
    </cacheField>
    <cacheField name="Clase activos fijos" numFmtId="0">
      <sharedItems/>
    </cacheField>
    <cacheField name="Descapitalización el" numFmtId="14">
      <sharedItems containsNonDate="0" containsString="0" containsBlank="1"/>
    </cacheField>
    <cacheField name="Centro de costo" numFmtId="0">
      <sharedItems containsSemiMixedTypes="0" containsString="0" containsNumber="1" containsInteger="1" minValue="47500000" maxValue="97411081"/>
    </cacheField>
    <cacheField name="Nombre" numFmtId="0">
      <sharedItems/>
    </cacheField>
    <cacheField name="Centro de beneficio" numFmtId="0">
      <sharedItems containsSemiMixedTypes="0" containsString="0" containsNumber="1" containsInteger="1" minValue="32741130" maxValue="41756150"/>
    </cacheField>
    <cacheField name="Seccion" numFmtId="0">
      <sharedItems count="39">
        <s v="Almacén_WTC"/>
        <s v="B1, N2, M2_WTC"/>
        <s v="B4, N1_WTC"/>
        <s v="Pruebas_WTC"/>
        <s v="B1, N4_WTC"/>
        <s v="Administracion_WTC"/>
        <s v="B1, N1_WTC"/>
        <s v="B5, N2_WTC"/>
        <s v="B2, N2_WTC"/>
        <s v="Resina_WTC"/>
        <s v="B5, N1_WTC"/>
        <s v="B5_WTC"/>
        <s v="BAJA"/>
        <s v="Chapisteria_WTC"/>
        <s v="B6_WTC"/>
        <s v="B1, N3_WTC"/>
        <s v="B4_WTC"/>
        <s v="B1, N2, ST_WTC"/>
        <s v="Servicios_WTC"/>
        <s v="B5,N1_WTC"/>
        <s v="B1, N2_WTC"/>
        <s v="B2, N2, M4_WTC"/>
        <s v="B2, N1_WTC"/>
        <s v="B4, N2_WTC"/>
        <s v="Prepacion encap_WTC"/>
        <s v="PCP_WTC"/>
        <s v="Tecnicos_WTC"/>
        <s v="Calidad_WTC"/>
        <s v="Mantenimiento_WTC"/>
        <s v="Processos_WTC"/>
        <s v="Ventas - Trans&amp;Distr - Sabaneta_WTC"/>
        <s v="B2_WTC"/>
        <s v="B2, N2, M3_WTC"/>
        <s v="B1_WTC"/>
        <s v="Ventas - WDS - Cota_WTC"/>
        <s v="B4,N2_WTC"/>
        <s v="B1, N1 M1_WTC"/>
        <s v="SST_WTC"/>
        <s v="B2, N1, M4_WTC"/>
      </sharedItems>
    </cacheField>
    <cacheField name="Si" numFmtId="0">
      <sharedItems containsBlank="1"/>
    </cacheField>
    <cacheField name="No" numFmtId="0">
      <sharedItems containsBlank="1"/>
    </cacheField>
    <cacheField name="Ubicación en nueva planta. " numFmtId="0">
      <sharedItems containsBlank="1"/>
    </cacheField>
    <cacheField name="Observ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s v="0"/>
    <x v="0"/>
    <d v="2015-01-01T00:00:00"/>
    <n v="1584000"/>
    <n v="-1584000"/>
    <n v="0"/>
    <s v="COP"/>
    <s v="3009"/>
    <s v="CO52001"/>
    <m/>
    <n v="47567015"/>
    <s v="Almacén"/>
    <n v="41756150"/>
    <x v="0"/>
    <m/>
    <m/>
    <m/>
    <m/>
  </r>
  <r>
    <x v="1"/>
    <s v="0"/>
    <x v="1"/>
    <d v="2015-01-01T00:00:00"/>
    <n v="2890000"/>
    <n v="-2551514"/>
    <n v="338486"/>
    <s v="COP"/>
    <s v="3009"/>
    <s v="CO41001"/>
    <m/>
    <n v="47544024"/>
    <s v="Ensamble Parte Activa &gt;300 KVA"/>
    <n v="41754150"/>
    <x v="1"/>
    <m/>
    <m/>
    <m/>
    <m/>
  </r>
  <r>
    <x v="2"/>
    <s v="0"/>
    <x v="2"/>
    <d v="2015-01-01T00:00:00"/>
    <n v="10900000"/>
    <n v="-6415573"/>
    <n v="4484427"/>
    <s v="COP"/>
    <s v="3009"/>
    <s v="CO41001"/>
    <m/>
    <n v="47544011"/>
    <s v="Preparación e Pintura Soldadura"/>
    <n v="41754150"/>
    <x v="2"/>
    <m/>
    <m/>
    <m/>
    <m/>
  </r>
  <r>
    <x v="3"/>
    <s v="0"/>
    <x v="3"/>
    <d v="2015-01-01T00:00:00"/>
    <n v="151751504"/>
    <n v="-133977867"/>
    <n v="17773637"/>
    <s v="COP"/>
    <s v="3009"/>
    <s v="CO41001"/>
    <m/>
    <n v="47544032"/>
    <s v="Laboratório Aceite, Encapasuldo y Seco &gt;300 kVA"/>
    <n v="41754150"/>
    <x v="3"/>
    <m/>
    <m/>
    <m/>
    <m/>
  </r>
  <r>
    <x v="4"/>
    <s v="0"/>
    <x v="4"/>
    <d v="2015-01-01T00:00:00"/>
    <n v="160000000"/>
    <n v="-141260274"/>
    <n v="18739726"/>
    <s v="COP"/>
    <s v="3009"/>
    <s v="CO41001"/>
    <m/>
    <n v="47544025"/>
    <s v="Encubado"/>
    <n v="41754150"/>
    <x v="4"/>
    <m/>
    <m/>
    <m/>
    <m/>
  </r>
  <r>
    <x v="5"/>
    <s v="0"/>
    <x v="5"/>
    <d v="2015-06-19T00:00:00"/>
    <n v="6284045"/>
    <n v="-5417123"/>
    <n v="866922"/>
    <s v="COP"/>
    <s v="3009"/>
    <s v="CO41001"/>
    <m/>
    <n v="47544025"/>
    <s v="Encubado"/>
    <n v="41754150"/>
    <x v="4"/>
    <m/>
    <m/>
    <m/>
    <m/>
  </r>
  <r>
    <x v="6"/>
    <s v="0"/>
    <x v="6"/>
    <d v="2016-11-28T00:00:00"/>
    <n v="97440000"/>
    <n v="-51397004"/>
    <n v="46042996"/>
    <s v="COP"/>
    <s v="3009"/>
    <s v="CO41001"/>
    <m/>
    <n v="47567015"/>
    <s v="Almacén"/>
    <n v="41756150"/>
    <x v="0"/>
    <m/>
    <m/>
    <m/>
    <m/>
  </r>
  <r>
    <x v="7"/>
    <s v="0"/>
    <x v="7"/>
    <d v="2017-01-01T00:00:00"/>
    <n v="1800000"/>
    <n v="-1800000"/>
    <n v="0"/>
    <s v="COP"/>
    <s v="3009"/>
    <s v="CO51001"/>
    <m/>
    <n v="47502031"/>
    <s v="Compras"/>
    <n v="41750150"/>
    <x v="5"/>
    <s v="X"/>
    <m/>
    <s v="Ejemplo bodega 1"/>
    <m/>
  </r>
  <r>
    <x v="8"/>
    <s v="0"/>
    <x v="8"/>
    <d v="2017-01-01T00:00:00"/>
    <n v="2098000"/>
    <n v="-2098000"/>
    <n v="0"/>
    <s v="COP"/>
    <s v="3009"/>
    <s v="CO51001"/>
    <m/>
    <n v="47567015"/>
    <s v="Almacén"/>
    <n v="41756150"/>
    <x v="0"/>
    <m/>
    <m/>
    <m/>
    <m/>
  </r>
  <r>
    <x v="9"/>
    <s v="0"/>
    <x v="9"/>
    <d v="2017-01-01T00:00:00"/>
    <n v="4774280"/>
    <n v="-4774280"/>
    <n v="0"/>
    <s v="COP"/>
    <s v="3009"/>
    <s v="CO51001"/>
    <m/>
    <n v="47567015"/>
    <s v="Almacén"/>
    <n v="41756150"/>
    <x v="0"/>
    <m/>
    <m/>
    <m/>
    <m/>
  </r>
  <r>
    <x v="10"/>
    <s v="0"/>
    <x v="10"/>
    <d v="2017-01-30T00:00:00"/>
    <n v="2610000"/>
    <n v="-2610000"/>
    <n v="0"/>
    <s v="COP"/>
    <s v="3009"/>
    <s v="CO52001"/>
    <m/>
    <n v="47567015"/>
    <s v="Almacén"/>
    <n v="41756150"/>
    <x v="0"/>
    <m/>
    <m/>
    <m/>
    <m/>
  </r>
  <r>
    <x v="11"/>
    <s v="0"/>
    <x v="11"/>
    <d v="2017-02-24T00:00:00"/>
    <n v="3029740"/>
    <n v="-2359289"/>
    <n v="670451"/>
    <s v="COP"/>
    <s v="3009"/>
    <s v="CO41001"/>
    <m/>
    <n v="47567015"/>
    <s v="Almacén"/>
    <n v="41756150"/>
    <x v="0"/>
    <m/>
    <m/>
    <m/>
    <m/>
  </r>
  <r>
    <x v="12"/>
    <s v="0"/>
    <x v="12"/>
    <d v="2017-03-01T00:00:00"/>
    <n v="746574046"/>
    <n v="-289126990"/>
    <n v="457447056"/>
    <s v="COP"/>
    <s v="3009"/>
    <s v="CO41001"/>
    <m/>
    <n v="47544015"/>
    <s v="Corte Silicio"/>
    <n v="41754150"/>
    <x v="6"/>
    <m/>
    <m/>
    <m/>
    <m/>
  </r>
  <r>
    <x v="12"/>
    <s v="1"/>
    <x v="13"/>
    <d v="2022-11-30T00:00:00"/>
    <n v="37139561"/>
    <n v="-7463825"/>
    <n v="29675736"/>
    <s v="COP"/>
    <s v="3009"/>
    <s v="CO41001"/>
    <m/>
    <n v="47544015"/>
    <s v="Corte Silicio"/>
    <n v="41754150"/>
    <x v="6"/>
    <m/>
    <m/>
    <m/>
    <m/>
  </r>
  <r>
    <x v="12"/>
    <s v="2"/>
    <x v="14"/>
    <d v="2022-10-10T00:00:00"/>
    <n v="25760840"/>
    <n v="-6107318"/>
    <n v="19653522"/>
    <s v="COP"/>
    <s v="3009"/>
    <s v="CO41001"/>
    <m/>
    <n v="47544015"/>
    <s v="Corte Silicio"/>
    <n v="41754150"/>
    <x v="6"/>
    <m/>
    <m/>
    <m/>
    <m/>
  </r>
  <r>
    <x v="13"/>
    <s v="0"/>
    <x v="15"/>
    <d v="2017-03-21T00:00:00"/>
    <n v="2142000"/>
    <n v="-2142000"/>
    <n v="0"/>
    <s v="COP"/>
    <s v="3009"/>
    <s v="CO41001"/>
    <m/>
    <n v="47544018"/>
    <s v="Devanados Encapsulados"/>
    <n v="41754150"/>
    <x v="7"/>
    <m/>
    <m/>
    <m/>
    <s v="Dar de baja"/>
  </r>
  <r>
    <x v="14"/>
    <s v="0"/>
    <x v="16"/>
    <d v="2017-05-01T00:00:00"/>
    <n v="230000"/>
    <n v="-168456"/>
    <n v="61544"/>
    <s v="COP"/>
    <s v="3009"/>
    <s v="CO42001"/>
    <m/>
    <n v="47544021"/>
    <s v="Devanados Seco DT, MF y MDF"/>
    <n v="41754150"/>
    <x v="8"/>
    <m/>
    <m/>
    <m/>
    <m/>
  </r>
  <r>
    <x v="15"/>
    <s v="0"/>
    <x v="17"/>
    <d v="2017-05-01T00:00:00"/>
    <n v="450000"/>
    <n v="-329589"/>
    <n v="120411"/>
    <s v="COP"/>
    <s v="3009"/>
    <s v="CO42001"/>
    <m/>
    <n v="47544018"/>
    <s v="Devanados Encapsulados"/>
    <n v="41754150"/>
    <x v="9"/>
    <m/>
    <m/>
    <m/>
    <s v="Dar de baja"/>
  </r>
  <r>
    <x v="16"/>
    <s v="0"/>
    <x v="18"/>
    <d v="2017-05-01T00:00:00"/>
    <n v="450000"/>
    <n v="-329589"/>
    <n v="120411"/>
    <s v="COP"/>
    <s v="3009"/>
    <s v="CO42001"/>
    <m/>
    <n v="47544018"/>
    <s v="Devanados Encapsulados"/>
    <n v="41754150"/>
    <x v="9"/>
    <m/>
    <m/>
    <m/>
    <s v="Dar de baja"/>
  </r>
  <r>
    <x v="17"/>
    <s v="0"/>
    <x v="19"/>
    <d v="2017-05-01T00:00:00"/>
    <n v="455000"/>
    <n v="-333251"/>
    <n v="121749"/>
    <s v="COP"/>
    <s v="3009"/>
    <s v="CO42001"/>
    <m/>
    <n v="47544018"/>
    <s v="Devanados Encapsulados"/>
    <n v="41754150"/>
    <x v="9"/>
    <m/>
    <m/>
    <m/>
    <s v="Dar de baja"/>
  </r>
  <r>
    <x v="18"/>
    <s v="0"/>
    <x v="20"/>
    <d v="2017-05-01T00:00:00"/>
    <n v="844000"/>
    <n v="-618163"/>
    <n v="225837"/>
    <s v="COP"/>
    <s v="3009"/>
    <s v="CO41001"/>
    <m/>
    <n v="47544018"/>
    <s v="Devanados Encapsulados"/>
    <n v="41754150"/>
    <x v="7"/>
    <m/>
    <m/>
    <m/>
    <m/>
  </r>
  <r>
    <x v="19"/>
    <s v="0"/>
    <x v="21"/>
    <d v="2017-05-01T00:00:00"/>
    <n v="1000000"/>
    <n v="-732420"/>
    <n v="267580"/>
    <s v="COP"/>
    <s v="3009"/>
    <s v="CO41001"/>
    <m/>
    <n v="47544017"/>
    <s v="Preparación Encapsulados"/>
    <n v="41754150"/>
    <x v="10"/>
    <m/>
    <m/>
    <m/>
    <m/>
  </r>
  <r>
    <x v="20"/>
    <s v="0"/>
    <x v="22"/>
    <d v="2017-05-01T00:00:00"/>
    <n v="1055000"/>
    <n v="-772703"/>
    <n v="282297"/>
    <s v="COP"/>
    <s v="3009"/>
    <s v="CO41001"/>
    <m/>
    <n v="47544017"/>
    <s v="Preparación Encapsulados"/>
    <n v="41754150"/>
    <x v="11"/>
    <m/>
    <m/>
    <m/>
    <m/>
  </r>
  <r>
    <x v="21"/>
    <s v="0"/>
    <x v="23"/>
    <d v="2017-05-01T00:00:00"/>
    <n v="1191000"/>
    <n v="-872312"/>
    <n v="318688"/>
    <s v="COP"/>
    <s v="3009"/>
    <s v="CO42001"/>
    <m/>
    <n v="47544017"/>
    <s v="Preparación Encapsulados"/>
    <n v="41754150"/>
    <x v="10"/>
    <m/>
    <m/>
    <m/>
    <m/>
  </r>
  <r>
    <x v="22"/>
    <s v="0"/>
    <x v="24"/>
    <d v="2017-05-01T00:00:00"/>
    <n v="1650000"/>
    <n v="-632123"/>
    <n v="1017877"/>
    <s v="COP"/>
    <s v="3009"/>
    <s v="CO41001"/>
    <m/>
    <n v="47567015"/>
    <s v="Almacén"/>
    <n v="41756150"/>
    <x v="0"/>
    <m/>
    <m/>
    <m/>
    <m/>
  </r>
  <r>
    <x v="23"/>
    <s v="0"/>
    <x v="25"/>
    <d v="2017-05-01T00:00:00"/>
    <n v="2500000"/>
    <n v="-957763"/>
    <n v="1542237"/>
    <s v="COP"/>
    <s v="3009"/>
    <s v="CO41001"/>
    <m/>
    <n v="47544018"/>
    <s v="Devanados Encapsulados"/>
    <n v="41754150"/>
    <x v="10"/>
    <m/>
    <m/>
    <m/>
    <m/>
  </r>
  <r>
    <x v="23"/>
    <s v="1"/>
    <x v="26"/>
    <d v="2022-06-15T00:00:00"/>
    <n v="3377550"/>
    <n v="-654691"/>
    <n v="2722859"/>
    <s v="COP"/>
    <s v="3009"/>
    <s v="CO41001"/>
    <m/>
    <n v="47544018"/>
    <s v="Devanados Encapsulados"/>
    <n v="41754150"/>
    <x v="10"/>
    <m/>
    <m/>
    <m/>
    <m/>
  </r>
  <r>
    <x v="23"/>
    <s v="2"/>
    <x v="27"/>
    <d v="2022-06-15T00:00:00"/>
    <n v="1786565"/>
    <n v="-346299"/>
    <n v="1440266"/>
    <s v="COP"/>
    <s v="3009"/>
    <s v="CO41001"/>
    <m/>
    <n v="47544018"/>
    <s v="Devanados Encapsulados"/>
    <n v="41754150"/>
    <x v="10"/>
    <m/>
    <m/>
    <m/>
    <m/>
  </r>
  <r>
    <x v="23"/>
    <s v="4"/>
    <x v="28"/>
    <d v="2023-09-13T00:00:00"/>
    <n v="1277194572"/>
    <n v="-335919668"/>
    <n v="941274904"/>
    <s v="COP"/>
    <s v="3009"/>
    <s v="CO41001"/>
    <m/>
    <n v="47544018"/>
    <s v="Devanados Encapsulados"/>
    <n v="41754150"/>
    <x v="10"/>
    <m/>
    <m/>
    <m/>
    <m/>
  </r>
  <r>
    <x v="24"/>
    <s v="0"/>
    <x v="29"/>
    <d v="2017-05-01T00:00:00"/>
    <n v="2577000"/>
    <n v="-987262"/>
    <n v="1589738"/>
    <s v="COP"/>
    <s v="3009"/>
    <s v="CO42001"/>
    <m/>
    <n v="47544018"/>
    <s v="Devanados Encapsulados"/>
    <n v="41754150"/>
    <x v="8"/>
    <m/>
    <m/>
    <m/>
    <m/>
  </r>
  <r>
    <x v="25"/>
    <s v="0"/>
    <x v="30"/>
    <d v="2017-05-01T00:00:00"/>
    <n v="2800000"/>
    <n v="-1072694"/>
    <n v="1727306"/>
    <s v="COP"/>
    <s v="3009"/>
    <s v="CO42001"/>
    <m/>
    <n v="47544015"/>
    <s v="Corte Silicio"/>
    <n v="41754150"/>
    <x v="6"/>
    <m/>
    <m/>
    <m/>
    <s v="Dar de baja"/>
  </r>
  <r>
    <x v="26"/>
    <s v="0"/>
    <x v="31"/>
    <d v="2017-05-01T00:00:00"/>
    <n v="3000000"/>
    <n v="-1149315"/>
    <n v="1850685"/>
    <s v="COP"/>
    <s v="3009"/>
    <s v="CO41001"/>
    <m/>
    <n v="47544017"/>
    <s v="Preparación Encapsulados"/>
    <n v="41754150"/>
    <x v="7"/>
    <m/>
    <m/>
    <m/>
    <m/>
  </r>
  <r>
    <x v="27"/>
    <s v="0"/>
    <x v="32"/>
    <d v="2017-05-01T00:00:00"/>
    <n v="6200000"/>
    <n v="-2375251"/>
    <n v="3824749"/>
    <s v="COP"/>
    <s v="3009"/>
    <s v="CO41001"/>
    <m/>
    <n v="47544018"/>
    <s v="Devanados Encapsulados"/>
    <n v="41754150"/>
    <x v="11"/>
    <m/>
    <m/>
    <m/>
    <m/>
  </r>
  <r>
    <x v="28"/>
    <s v="0"/>
    <x v="33"/>
    <d v="2017-05-01T00:00:00"/>
    <n v="7500000"/>
    <n v="-2873288"/>
    <n v="4626712"/>
    <s v="COP"/>
    <s v="3009"/>
    <s v="CO42001"/>
    <m/>
    <n v="47544018"/>
    <s v="Devanados Encapsulados"/>
    <n v="41754150"/>
    <x v="10"/>
    <m/>
    <m/>
    <m/>
    <m/>
  </r>
  <r>
    <x v="29"/>
    <s v="0"/>
    <x v="34"/>
    <d v="2017-05-01T00:00:00"/>
    <n v="10000000"/>
    <n v="-3831051"/>
    <n v="6168949"/>
    <s v="COP"/>
    <s v="3009"/>
    <s v="CO41001"/>
    <m/>
    <n v="47544018"/>
    <s v="Devanados Encapsulados"/>
    <n v="41754150"/>
    <x v="7"/>
    <m/>
    <m/>
    <m/>
    <m/>
  </r>
  <r>
    <x v="30"/>
    <s v="0"/>
    <x v="35"/>
    <d v="2017-05-01T00:00:00"/>
    <n v="50467767"/>
    <n v="-19334453"/>
    <n v="31133314"/>
    <s v="COP"/>
    <s v="3009"/>
    <s v="CO41001"/>
    <m/>
    <n v="47544018"/>
    <s v="Devanados Encapsulados"/>
    <n v="41754150"/>
    <x v="8"/>
    <m/>
    <m/>
    <m/>
    <m/>
  </r>
  <r>
    <x v="31"/>
    <s v="0"/>
    <x v="36"/>
    <d v="2017-05-01T00:00:00"/>
    <n v="378107500"/>
    <n v="-289709765"/>
    <n v="88397735"/>
    <s v="COP"/>
    <s v="3009"/>
    <s v="CO41001"/>
    <m/>
    <n v="47544017"/>
    <s v="Preparación Encapsulados"/>
    <n v="41754150"/>
    <x v="11"/>
    <m/>
    <m/>
    <m/>
    <m/>
  </r>
  <r>
    <x v="32"/>
    <s v="0"/>
    <x v="37"/>
    <d v="2017-07-31T00:00:00"/>
    <n v="1954775"/>
    <n v="-1954775"/>
    <n v="0"/>
    <s v="COP"/>
    <s v="3009"/>
    <s v="CO52001"/>
    <m/>
    <n v="47567015"/>
    <s v="Almacén"/>
    <n v="41756150"/>
    <x v="0"/>
    <m/>
    <m/>
    <m/>
    <m/>
  </r>
  <r>
    <x v="33"/>
    <s v="0"/>
    <x v="38"/>
    <d v="2017-10-31T00:00:00"/>
    <n v="57268898"/>
    <n v="-42686904"/>
    <n v="14581994"/>
    <s v="COP"/>
    <s v="3009"/>
    <s v="CO41001"/>
    <m/>
    <n v="47544021"/>
    <s v="Devanados Seco DT, MF y MDF"/>
    <n v="41754150"/>
    <x v="8"/>
    <m/>
    <m/>
    <m/>
    <m/>
  </r>
  <r>
    <x v="34"/>
    <s v="0"/>
    <x v="39"/>
    <d v="2017-12-31T00:00:00"/>
    <n v="3096933"/>
    <n v="-3096933"/>
    <n v="0"/>
    <s v="COP"/>
    <s v="3009"/>
    <s v="CO52001"/>
    <m/>
    <n v="47567015"/>
    <s v="Almacén"/>
    <n v="41756150"/>
    <x v="0"/>
    <m/>
    <m/>
    <m/>
    <m/>
  </r>
  <r>
    <x v="35"/>
    <s v="0"/>
    <x v="40"/>
    <d v="2018-01-31T00:00:00"/>
    <n v="22055175"/>
    <n v="-9467212"/>
    <n v="12587963"/>
    <s v="COP"/>
    <s v="3009"/>
    <s v="CO41001"/>
    <m/>
    <n v="47544032"/>
    <s v="Laboratório Aceite, Encapasuldo y Seco &gt;300 kVA"/>
    <n v="41754150"/>
    <x v="3"/>
    <m/>
    <m/>
    <m/>
    <m/>
  </r>
  <r>
    <x v="35"/>
    <s v="1"/>
    <x v="41"/>
    <d v="2021-08-13T00:00:00"/>
    <n v="11309000"/>
    <n v="-5105722"/>
    <n v="6203278"/>
    <s v="COP"/>
    <s v="3009"/>
    <s v="CO41001"/>
    <m/>
    <n v="47544032"/>
    <s v="Laboratório Aceite, Encapasuldo y Seco &gt;300 kVA"/>
    <n v="41754150"/>
    <x v="3"/>
    <m/>
    <m/>
    <m/>
    <m/>
  </r>
  <r>
    <x v="36"/>
    <s v="0"/>
    <x v="42"/>
    <d v="2018-05-01T00:00:00"/>
    <n v="4049386"/>
    <n v="-4049386"/>
    <n v="0"/>
    <s v="COP"/>
    <s v="3009"/>
    <s v="CO51001"/>
    <m/>
    <n v="47502031"/>
    <s v="Compras"/>
    <n v="41750150"/>
    <x v="5"/>
    <m/>
    <s v="X"/>
    <s v="Ejemplo tercer piso administracion"/>
    <m/>
  </r>
  <r>
    <x v="37"/>
    <s v="0"/>
    <x v="43"/>
    <d v="2018-05-04T00:00:00"/>
    <n v="4000000"/>
    <n v="-4000000"/>
    <n v="0"/>
    <s v="COP"/>
    <s v="3009"/>
    <s v="CO52001"/>
    <m/>
    <n v="47567015"/>
    <s v="Almacén"/>
    <n v="41756150"/>
    <x v="0"/>
    <m/>
    <m/>
    <m/>
    <m/>
  </r>
  <r>
    <x v="38"/>
    <s v="0"/>
    <x v="44"/>
    <d v="2018-05-04T00:00:00"/>
    <n v="50581716"/>
    <n v="-50581716"/>
    <n v="0"/>
    <s v="COP"/>
    <s v="3009"/>
    <s v="CO52001"/>
    <m/>
    <n v="47567015"/>
    <s v="Almacén"/>
    <n v="41756150"/>
    <x v="0"/>
    <m/>
    <m/>
    <m/>
    <m/>
  </r>
  <r>
    <x v="39"/>
    <s v="0"/>
    <x v="45"/>
    <d v="2018-06-01T00:00:00"/>
    <n v="13958326"/>
    <n v="-9938936"/>
    <n v="4019390"/>
    <s v="COP"/>
    <s v="3009"/>
    <s v="CO42001"/>
    <m/>
    <n v="47544032"/>
    <s v="Laboratório Aceite, Encapasuldo y Seco &gt;300 kVA"/>
    <n v="41754150"/>
    <x v="3"/>
    <m/>
    <m/>
    <m/>
    <m/>
  </r>
  <r>
    <x v="40"/>
    <s v="0"/>
    <x v="46"/>
    <d v="2018-06-05T00:00:00"/>
    <n v="14023111"/>
    <n v="-14023111"/>
    <n v="0"/>
    <s v="COP"/>
    <s v="3009"/>
    <s v="CO52001"/>
    <m/>
    <n v="47567015"/>
    <s v="Almacén"/>
    <n v="41756150"/>
    <x v="0"/>
    <m/>
    <m/>
    <m/>
    <m/>
  </r>
  <r>
    <x v="41"/>
    <s v="0"/>
    <x v="47"/>
    <d v="2018-06-25T00:00:00"/>
    <n v="4049386"/>
    <n v="-4049386"/>
    <n v="0"/>
    <s v="COP"/>
    <s v="3009"/>
    <s v="CO51001"/>
    <m/>
    <n v="47502031"/>
    <s v="Compras"/>
    <n v="41750150"/>
    <x v="5"/>
    <m/>
    <m/>
    <m/>
    <m/>
  </r>
  <r>
    <x v="42"/>
    <s v="0"/>
    <x v="48"/>
    <d v="2018-08-01T00:00:00"/>
    <n v="1600000"/>
    <n v="-1600000"/>
    <n v="0"/>
    <s v="COP"/>
    <s v="3009"/>
    <s v="CO52001"/>
    <m/>
    <n v="47567015"/>
    <s v="Almacén"/>
    <n v="41756150"/>
    <x v="0"/>
    <m/>
    <m/>
    <m/>
    <m/>
  </r>
  <r>
    <x v="43"/>
    <s v="0"/>
    <x v="49"/>
    <d v="2018-08-01T00:00:00"/>
    <n v="2800000"/>
    <n v="-2800000"/>
    <n v="0"/>
    <s v="COP"/>
    <s v="3009"/>
    <s v="CO52001"/>
    <m/>
    <n v="47567015"/>
    <s v="Almacén"/>
    <n v="41756150"/>
    <x v="0"/>
    <m/>
    <m/>
    <m/>
    <m/>
  </r>
  <r>
    <x v="44"/>
    <s v="0"/>
    <x v="39"/>
    <d v="2018-08-09T00:00:00"/>
    <n v="3022600"/>
    <n v="-3022600"/>
    <n v="0"/>
    <s v="COP"/>
    <s v="3009"/>
    <s v="CO52001"/>
    <m/>
    <n v="47567015"/>
    <s v="Almacén"/>
    <n v="41756150"/>
    <x v="0"/>
    <m/>
    <m/>
    <m/>
    <m/>
  </r>
  <r>
    <x v="45"/>
    <s v="0"/>
    <x v="50"/>
    <d v="2018-08-13T00:00:00"/>
    <n v="6574750"/>
    <n v="-6574750"/>
    <n v="0"/>
    <s v="COP"/>
    <s v="3009"/>
    <s v="CO52001"/>
    <m/>
    <n v="47567015"/>
    <s v="Almacén"/>
    <n v="41756150"/>
    <x v="0"/>
    <m/>
    <m/>
    <m/>
    <m/>
  </r>
  <r>
    <x v="46"/>
    <s v="0"/>
    <x v="51"/>
    <d v="2018-11-01T00:00:00"/>
    <n v="2590677"/>
    <n v="-2590677"/>
    <n v="0"/>
    <s v="COP"/>
    <s v="3009"/>
    <s v="CO52001"/>
    <m/>
    <n v="47567015"/>
    <s v="Almacén"/>
    <n v="41756150"/>
    <x v="0"/>
    <m/>
    <m/>
    <m/>
    <m/>
  </r>
  <r>
    <x v="47"/>
    <s v="0"/>
    <x v="52"/>
    <d v="2018-11-01T00:00:00"/>
    <n v="2590677"/>
    <n v="-2590677"/>
    <n v="0"/>
    <s v="COP"/>
    <s v="3009"/>
    <s v="CO52001"/>
    <m/>
    <n v="47567015"/>
    <s v="Almacén"/>
    <n v="41756150"/>
    <x v="0"/>
    <m/>
    <m/>
    <m/>
    <m/>
  </r>
  <r>
    <x v="48"/>
    <s v="0"/>
    <x v="39"/>
    <d v="2018-11-01T00:00:00"/>
    <n v="2725100"/>
    <n v="-2725100"/>
    <n v="0"/>
    <s v="COP"/>
    <s v="3009"/>
    <s v="CO52001"/>
    <m/>
    <n v="47567015"/>
    <s v="Almacén"/>
    <n v="41756150"/>
    <x v="0"/>
    <m/>
    <m/>
    <m/>
    <m/>
  </r>
  <r>
    <x v="49"/>
    <s v="0"/>
    <x v="53"/>
    <d v="2018-11-01T00:00:00"/>
    <n v="2891563"/>
    <n v="-2891563"/>
    <n v="0"/>
    <s v="COP"/>
    <s v="3009"/>
    <s v="CO52001"/>
    <m/>
    <n v="47567015"/>
    <s v="Almacén"/>
    <n v="41756150"/>
    <x v="0"/>
    <m/>
    <m/>
    <m/>
    <m/>
  </r>
  <r>
    <x v="50"/>
    <s v="0"/>
    <x v="39"/>
    <d v="2018-11-01T00:00:00"/>
    <n v="3012700"/>
    <n v="-3012700"/>
    <n v="0"/>
    <s v="COP"/>
    <s v="3009"/>
    <s v="CO52001"/>
    <m/>
    <n v="47567015"/>
    <s v="Almacén"/>
    <n v="41756150"/>
    <x v="0"/>
    <m/>
    <m/>
    <m/>
    <m/>
  </r>
  <r>
    <x v="51"/>
    <s v="0"/>
    <x v="54"/>
    <d v="2018-11-01T00:00:00"/>
    <n v="4694794"/>
    <n v="-4694794"/>
    <n v="0"/>
    <s v="COP"/>
    <s v="3009"/>
    <s v="CO52001"/>
    <m/>
    <n v="47567015"/>
    <s v="Almacén"/>
    <n v="41756150"/>
    <x v="0"/>
    <m/>
    <m/>
    <m/>
    <m/>
  </r>
  <r>
    <x v="52"/>
    <s v="0"/>
    <x v="55"/>
    <d v="2018-12-03T00:00:00"/>
    <n v="7838231"/>
    <n v="-7838231"/>
    <n v="0"/>
    <s v="COP"/>
    <s v="3009"/>
    <s v="CO52001"/>
    <m/>
    <n v="47567015"/>
    <s v="Almacén"/>
    <n v="41756150"/>
    <x v="0"/>
    <m/>
    <m/>
    <m/>
    <m/>
  </r>
  <r>
    <x v="53"/>
    <s v="0"/>
    <x v="56"/>
    <d v="2018-12-31T00:00:00"/>
    <n v="2551219"/>
    <n v="-2551219"/>
    <n v="0"/>
    <s v="COP"/>
    <s v="3009"/>
    <s v="CO52001"/>
    <m/>
    <n v="47567015"/>
    <s v="Almacén"/>
    <n v="41756150"/>
    <x v="0"/>
    <m/>
    <m/>
    <m/>
    <m/>
  </r>
  <r>
    <x v="54"/>
    <s v="0"/>
    <x v="57"/>
    <d v="2018-12-31T00:00:00"/>
    <n v="3435222"/>
    <n v="-3435222"/>
    <n v="0"/>
    <s v="COP"/>
    <s v="3009"/>
    <s v="CO52001"/>
    <m/>
    <n v="47567015"/>
    <s v="Almacén"/>
    <n v="41756150"/>
    <x v="0"/>
    <m/>
    <m/>
    <m/>
    <m/>
  </r>
  <r>
    <x v="55"/>
    <s v="0"/>
    <x v="58"/>
    <d v="2018-12-31T00:00:00"/>
    <n v="35248365"/>
    <n v="-35248365"/>
    <n v="0"/>
    <s v="COP"/>
    <s v="3009"/>
    <s v="CO52001"/>
    <m/>
    <n v="47567015"/>
    <s v="Almacén"/>
    <n v="41756150"/>
    <x v="0"/>
    <m/>
    <m/>
    <m/>
    <m/>
  </r>
  <r>
    <x v="56"/>
    <s v="0"/>
    <x v="59"/>
    <d v="2019-01-01T00:00:00"/>
    <n v="5800000"/>
    <n v="-5800000"/>
    <n v="0"/>
    <s v="COP"/>
    <s v="3009"/>
    <s v="CO51001"/>
    <m/>
    <n v="47567015"/>
    <s v="Almacén"/>
    <n v="41756150"/>
    <x v="0"/>
    <m/>
    <m/>
    <m/>
    <m/>
  </r>
  <r>
    <x v="57"/>
    <s v="0"/>
    <x v="60"/>
    <d v="2019-02-28T00:00:00"/>
    <n v="4506065"/>
    <n v="-4506065"/>
    <n v="0"/>
    <s v="COP"/>
    <s v="3009"/>
    <s v="CO52001"/>
    <m/>
    <n v="47567015"/>
    <s v="Almacén"/>
    <n v="41756150"/>
    <x v="0"/>
    <m/>
    <m/>
    <m/>
    <m/>
  </r>
  <r>
    <x v="58"/>
    <s v="0"/>
    <x v="61"/>
    <d v="2019-04-01T00:00:00"/>
    <n v="340000"/>
    <n v="-340000"/>
    <n v="0"/>
    <s v="COP"/>
    <s v="3009"/>
    <s v="CO42001"/>
    <m/>
    <n v="47544025"/>
    <s v="Encubado"/>
    <n v="41754150"/>
    <x v="4"/>
    <m/>
    <m/>
    <m/>
    <m/>
  </r>
  <r>
    <x v="59"/>
    <s v="0"/>
    <x v="62"/>
    <d v="2019-04-01T00:00:00"/>
    <n v="410000"/>
    <n v="-410000"/>
    <n v="0"/>
    <s v="COP"/>
    <s v="3009"/>
    <s v="CO42001"/>
    <m/>
    <n v="47544032"/>
    <s v="Laboratório Aceite, Encapasuldo y Seco &gt;300 kVA"/>
    <n v="41754150"/>
    <x v="3"/>
    <m/>
    <m/>
    <m/>
    <m/>
  </r>
  <r>
    <x v="60"/>
    <s v="0"/>
    <x v="63"/>
    <d v="2019-04-01T00:00:00"/>
    <n v="440000"/>
    <n v="-440000"/>
    <n v="0"/>
    <s v="COP"/>
    <s v="3009"/>
    <s v="CO41001"/>
    <m/>
    <n v="47544032"/>
    <s v="Laboratório Aceite, Encapasuldo y Seco &gt;300 kVA"/>
    <n v="41754150"/>
    <x v="3"/>
    <m/>
    <m/>
    <m/>
    <m/>
  </r>
  <r>
    <x v="61"/>
    <s v="0"/>
    <x v="64"/>
    <d v="2019-04-01T00:00:00"/>
    <n v="1080000"/>
    <n v="-1080000"/>
    <n v="0"/>
    <s v="COP"/>
    <s v="3009"/>
    <s v="CO41001"/>
    <m/>
    <n v="47544032"/>
    <s v="Laboratório Aceite, Encapasuldo y Seco &gt;300 kVA"/>
    <n v="41754150"/>
    <x v="3"/>
    <m/>
    <m/>
    <m/>
    <m/>
  </r>
  <r>
    <x v="62"/>
    <s v="0"/>
    <x v="65"/>
    <d v="2019-04-01T00:00:00"/>
    <n v="1500000"/>
    <n v="-1500000"/>
    <n v="0"/>
    <s v="COP"/>
    <s v="3009"/>
    <s v="CO42001"/>
    <m/>
    <n v="47544032"/>
    <s v="Laboratório Aceite, Encapasuldo y Seco &gt;300 kVA"/>
    <n v="41754150"/>
    <x v="3"/>
    <m/>
    <m/>
    <m/>
    <m/>
  </r>
  <r>
    <x v="63"/>
    <s v="0"/>
    <x v="66"/>
    <d v="2019-04-01T00:00:00"/>
    <n v="2000000"/>
    <n v="-1340753"/>
    <n v="659247"/>
    <s v="COP"/>
    <s v="3009"/>
    <s v="CO42001"/>
    <m/>
    <n v="47544013"/>
    <s v="Esamble Tanques"/>
    <n v="41754150"/>
    <x v="12"/>
    <m/>
    <m/>
    <m/>
    <s v="Se debe dar de baja"/>
  </r>
  <r>
    <x v="64"/>
    <s v="0"/>
    <x v="67"/>
    <d v="2019-04-01T00:00:00"/>
    <n v="2743441"/>
    <n v="-919570"/>
    <n v="1823871"/>
    <s v="COP"/>
    <s v="3009"/>
    <s v="CO41001"/>
    <m/>
    <n v="47567015"/>
    <s v="Almacén"/>
    <n v="41756150"/>
    <x v="0"/>
    <m/>
    <m/>
    <m/>
    <m/>
  </r>
  <r>
    <x v="65"/>
    <s v="0"/>
    <x v="68"/>
    <d v="2019-04-01T00:00:00"/>
    <n v="2852000"/>
    <n v="-2852000"/>
    <n v="0"/>
    <s v="COP"/>
    <s v="3009"/>
    <s v="CO41001"/>
    <m/>
    <n v="47544032"/>
    <s v="Laboratório Aceite, Encapasuldo y Seco &gt;300 kVA"/>
    <n v="41754150"/>
    <x v="3"/>
    <m/>
    <m/>
    <m/>
    <m/>
  </r>
  <r>
    <x v="66"/>
    <s v="0"/>
    <x v="69"/>
    <d v="2019-04-01T00:00:00"/>
    <n v="3000000"/>
    <n v="-3000000"/>
    <n v="0"/>
    <s v="COP"/>
    <s v="3009"/>
    <s v="CO41001"/>
    <m/>
    <n v="47544032"/>
    <s v="Laboratório Aceite, Encapasuldo y Seco &gt;300 kVA"/>
    <n v="41754150"/>
    <x v="3"/>
    <m/>
    <m/>
    <m/>
    <m/>
  </r>
  <r>
    <x v="67"/>
    <s v="0"/>
    <x v="70"/>
    <d v="2019-04-01T00:00:00"/>
    <n v="4000000"/>
    <n v="-4000000"/>
    <n v="0"/>
    <s v="COP"/>
    <s v="3009"/>
    <s v="CO42001"/>
    <m/>
    <n v="47544032"/>
    <s v="Laboratório Aceite, Encapasuldo y Seco &gt;300 kVA"/>
    <n v="41754150"/>
    <x v="3"/>
    <m/>
    <m/>
    <m/>
    <m/>
  </r>
  <r>
    <x v="68"/>
    <s v="0"/>
    <x v="71"/>
    <d v="2019-04-01T00:00:00"/>
    <n v="5200000"/>
    <n v="-3485959"/>
    <n v="1714041"/>
    <s v="COP"/>
    <s v="3009"/>
    <s v="CO42001"/>
    <m/>
    <n v="47544013"/>
    <s v="Esamble Tanques"/>
    <n v="41754150"/>
    <x v="12"/>
    <m/>
    <m/>
    <m/>
    <m/>
  </r>
  <r>
    <x v="69"/>
    <s v="0"/>
    <x v="72"/>
    <d v="2019-04-01T00:00:00"/>
    <n v="5500000"/>
    <n v="-5500000"/>
    <n v="0"/>
    <s v="COP"/>
    <s v="3009"/>
    <s v="CO41001"/>
    <m/>
    <n v="47544032"/>
    <s v="Laboratório Aceite, Encapasuldo y Seco &gt;300 kVA"/>
    <n v="41754150"/>
    <x v="3"/>
    <m/>
    <m/>
    <m/>
    <m/>
  </r>
  <r>
    <x v="70"/>
    <s v="0"/>
    <x v="73"/>
    <d v="2019-04-01T00:00:00"/>
    <n v="5600000"/>
    <n v="-3754110"/>
    <n v="1845890"/>
    <s v="COP"/>
    <s v="3009"/>
    <s v="CO42001"/>
    <m/>
    <n v="47544013"/>
    <s v="Esamble Tanques"/>
    <n v="41754150"/>
    <x v="12"/>
    <m/>
    <m/>
    <m/>
    <m/>
  </r>
  <r>
    <x v="71"/>
    <s v="0"/>
    <x v="74"/>
    <d v="2019-04-01T00:00:00"/>
    <n v="6500000"/>
    <n v="-4357449"/>
    <n v="2142551"/>
    <s v="COP"/>
    <s v="3009"/>
    <s v="CO42001"/>
    <m/>
    <n v="47544013"/>
    <s v="Esamble Tanques"/>
    <n v="41754150"/>
    <x v="13"/>
    <m/>
    <m/>
    <m/>
    <m/>
  </r>
  <r>
    <x v="72"/>
    <s v="0"/>
    <x v="74"/>
    <d v="2019-04-01T00:00:00"/>
    <n v="6500000"/>
    <n v="-4357449"/>
    <n v="2142551"/>
    <s v="COP"/>
    <s v="3009"/>
    <s v="CO42001"/>
    <m/>
    <n v="47544013"/>
    <s v="Esamble Tanques"/>
    <n v="41754150"/>
    <x v="13"/>
    <m/>
    <m/>
    <m/>
    <m/>
  </r>
  <r>
    <x v="73"/>
    <s v="0"/>
    <x v="75"/>
    <d v="2019-04-01T00:00:00"/>
    <n v="6500000"/>
    <n v="-4357449"/>
    <n v="2142551"/>
    <s v="COP"/>
    <s v="3009"/>
    <s v="CO42001"/>
    <m/>
    <n v="47544013"/>
    <s v="Esamble Tanques"/>
    <n v="41754150"/>
    <x v="2"/>
    <m/>
    <m/>
    <m/>
    <m/>
  </r>
  <r>
    <x v="74"/>
    <s v="0"/>
    <x v="76"/>
    <d v="2019-04-01T00:00:00"/>
    <n v="13000000"/>
    <n v="-8714897"/>
    <n v="4285103"/>
    <s v="COP"/>
    <s v="3009"/>
    <s v="CO42001"/>
    <m/>
    <n v="47544013"/>
    <s v="Esamble Tanques"/>
    <n v="41754150"/>
    <x v="13"/>
    <m/>
    <m/>
    <m/>
    <m/>
  </r>
  <r>
    <x v="75"/>
    <s v="0"/>
    <x v="77"/>
    <d v="2019-04-01T00:00:00"/>
    <n v="94965262"/>
    <n v="-31831250"/>
    <n v="63134012"/>
    <s v="COP"/>
    <s v="3009"/>
    <s v="CO41001"/>
    <m/>
    <n v="47544011"/>
    <s v="Preparación e Pintura Soldadura"/>
    <n v="41754150"/>
    <x v="2"/>
    <m/>
    <m/>
    <m/>
    <m/>
  </r>
  <r>
    <x v="76"/>
    <s v="0"/>
    <x v="78"/>
    <d v="2019-04-01T00:00:00"/>
    <n v="124068653"/>
    <n v="-41586370"/>
    <n v="82482283"/>
    <s v="COP"/>
    <s v="3009"/>
    <s v="CO41001"/>
    <m/>
    <n v="47544011"/>
    <s v="Preparación e Pintura Soldadura"/>
    <n v="41754150"/>
    <x v="14"/>
    <m/>
    <m/>
    <m/>
    <m/>
  </r>
  <r>
    <x v="77"/>
    <s v="0"/>
    <x v="79"/>
    <d v="2019-04-01T00:00:00"/>
    <n v="135838990"/>
    <n v="-45531651"/>
    <n v="90307339"/>
    <s v="COP"/>
    <s v="3009"/>
    <s v="CO41001"/>
    <m/>
    <n v="47544011"/>
    <s v="Preparación e Pintura Soldadura"/>
    <n v="41754150"/>
    <x v="2"/>
    <m/>
    <m/>
    <m/>
    <m/>
  </r>
  <r>
    <x v="78"/>
    <s v="0"/>
    <x v="80"/>
    <d v="2019-04-01T00:00:00"/>
    <n v="535121579"/>
    <n v="-358733045"/>
    <n v="176388534"/>
    <s v="COP"/>
    <s v="3009"/>
    <s v="CO41001"/>
    <m/>
    <n v="47544025"/>
    <s v="Encubado"/>
    <n v="41754150"/>
    <x v="15"/>
    <m/>
    <m/>
    <m/>
    <m/>
  </r>
  <r>
    <x v="78"/>
    <s v="1"/>
    <x v="81"/>
    <d v="2022-12-06T00:00:00"/>
    <n v="3472620"/>
    <n v="-1180690"/>
    <n v="2291930"/>
    <s v="COP"/>
    <s v="3009"/>
    <s v="CO41001"/>
    <m/>
    <n v="47544025"/>
    <s v="Encubado"/>
    <n v="41754150"/>
    <x v="15"/>
    <m/>
    <m/>
    <m/>
    <m/>
  </r>
  <r>
    <x v="79"/>
    <s v="0"/>
    <x v="82"/>
    <d v="2019-05-01T00:00:00"/>
    <n v="4420000"/>
    <n v="-4420000"/>
    <n v="0"/>
    <s v="COP"/>
    <s v="3009"/>
    <s v="CO52001"/>
    <m/>
    <n v="47567015"/>
    <s v="Almacén"/>
    <n v="41756150"/>
    <x v="0"/>
    <m/>
    <m/>
    <m/>
    <m/>
  </r>
  <r>
    <x v="80"/>
    <s v="0"/>
    <x v="83"/>
    <d v="2019-05-08T00:00:00"/>
    <n v="2880000"/>
    <n v="-2880000"/>
    <n v="0"/>
    <s v="COP"/>
    <s v="3009"/>
    <s v="CO51001"/>
    <m/>
    <n v="47567015"/>
    <s v="Almacén"/>
    <n v="41756150"/>
    <x v="0"/>
    <m/>
    <m/>
    <m/>
    <m/>
  </r>
  <r>
    <x v="81"/>
    <s v="0"/>
    <x v="84"/>
    <d v="2019-05-14T00:00:00"/>
    <n v="2608487"/>
    <n v="-2608487"/>
    <n v="0"/>
    <s v="COP"/>
    <s v="3009"/>
    <s v="CO41001"/>
    <m/>
    <n v="47544013"/>
    <s v="Esamble Tanques"/>
    <n v="41754150"/>
    <x v="16"/>
    <m/>
    <m/>
    <m/>
    <m/>
  </r>
  <r>
    <x v="82"/>
    <s v="0"/>
    <x v="39"/>
    <d v="2019-06-04T00:00:00"/>
    <n v="2073690"/>
    <n v="-2073690"/>
    <n v="0"/>
    <s v="COP"/>
    <s v="3009"/>
    <s v="CO52001"/>
    <m/>
    <n v="47567015"/>
    <s v="Almacén"/>
    <n v="41756150"/>
    <x v="0"/>
    <m/>
    <m/>
    <m/>
    <m/>
  </r>
  <r>
    <x v="83"/>
    <s v="0"/>
    <x v="39"/>
    <d v="2019-06-04T00:00:00"/>
    <n v="2073690"/>
    <n v="-2073690"/>
    <n v="0"/>
    <s v="COP"/>
    <s v="3009"/>
    <s v="CO52001"/>
    <m/>
    <n v="47567015"/>
    <s v="Almacén"/>
    <n v="41756150"/>
    <x v="0"/>
    <m/>
    <m/>
    <m/>
    <m/>
  </r>
  <r>
    <x v="84"/>
    <s v="0"/>
    <x v="39"/>
    <d v="2019-06-04T00:00:00"/>
    <n v="2073690"/>
    <n v="-2073690"/>
    <n v="0"/>
    <s v="COP"/>
    <s v="3009"/>
    <s v="CO52001"/>
    <m/>
    <n v="47567015"/>
    <s v="Almacén"/>
    <n v="41756150"/>
    <x v="0"/>
    <m/>
    <m/>
    <m/>
    <m/>
  </r>
  <r>
    <x v="85"/>
    <s v="0"/>
    <x v="39"/>
    <d v="2019-06-04T00:00:00"/>
    <n v="2073690"/>
    <n v="-2073690"/>
    <n v="0"/>
    <s v="COP"/>
    <s v="3009"/>
    <s v="CO52001"/>
    <m/>
    <n v="47567015"/>
    <s v="Almacén"/>
    <n v="41756150"/>
    <x v="0"/>
    <m/>
    <m/>
    <m/>
    <m/>
  </r>
  <r>
    <x v="86"/>
    <s v="0"/>
    <x v="39"/>
    <d v="2019-06-04T00:00:00"/>
    <n v="2100000"/>
    <n v="-2100000"/>
    <n v="0"/>
    <s v="COP"/>
    <s v="3009"/>
    <s v="CO52001"/>
    <m/>
    <n v="47567015"/>
    <s v="Almacén"/>
    <n v="41756150"/>
    <x v="0"/>
    <m/>
    <m/>
    <m/>
    <m/>
  </r>
  <r>
    <x v="87"/>
    <s v="0"/>
    <x v="39"/>
    <d v="2019-07-01T00:00:00"/>
    <n v="2594716"/>
    <n v="-2594716"/>
    <n v="0"/>
    <s v="COP"/>
    <s v="3009"/>
    <s v="CO52001"/>
    <m/>
    <n v="47567015"/>
    <s v="Almacén"/>
    <n v="41756150"/>
    <x v="0"/>
    <m/>
    <m/>
    <m/>
    <m/>
  </r>
  <r>
    <x v="88"/>
    <s v="0"/>
    <x v="85"/>
    <d v="2019-07-18T00:00:00"/>
    <n v="3555000"/>
    <n v="-3555000"/>
    <n v="0"/>
    <s v="COP"/>
    <s v="3009"/>
    <s v="CO52001"/>
    <m/>
    <n v="47567015"/>
    <s v="Almacén"/>
    <n v="41756150"/>
    <x v="0"/>
    <m/>
    <m/>
    <m/>
    <m/>
  </r>
  <r>
    <x v="89"/>
    <s v="0"/>
    <x v="86"/>
    <d v="2019-07-18T00:00:00"/>
    <n v="3555000"/>
    <n v="-3555000"/>
    <n v="0"/>
    <s v="COP"/>
    <s v="3009"/>
    <s v="CO52001"/>
    <m/>
    <n v="47567015"/>
    <s v="Almacén"/>
    <n v="41756150"/>
    <x v="0"/>
    <m/>
    <m/>
    <m/>
    <m/>
  </r>
  <r>
    <x v="90"/>
    <s v="0"/>
    <x v="87"/>
    <d v="2019-07-22T00:00:00"/>
    <n v="3991597"/>
    <n v="-3991597"/>
    <n v="0"/>
    <s v="COP"/>
    <s v="3009"/>
    <s v="CO52001"/>
    <m/>
    <n v="47567015"/>
    <s v="Almacén"/>
    <n v="41756150"/>
    <x v="0"/>
    <m/>
    <m/>
    <m/>
    <m/>
  </r>
  <r>
    <x v="91"/>
    <s v="0"/>
    <x v="88"/>
    <d v="2019-08-01T00:00:00"/>
    <n v="505882"/>
    <n v="-505882"/>
    <n v="0"/>
    <s v="COP"/>
    <s v="3009"/>
    <s v="CO52001"/>
    <m/>
    <n v="47567015"/>
    <s v="Almacén"/>
    <n v="41756150"/>
    <x v="0"/>
    <m/>
    <m/>
    <m/>
    <m/>
  </r>
  <r>
    <x v="92"/>
    <s v="0"/>
    <x v="89"/>
    <d v="2019-08-01T00:00:00"/>
    <n v="2499510"/>
    <n v="-2499510"/>
    <n v="0"/>
    <s v="COP"/>
    <s v="3009"/>
    <s v="CO52001"/>
    <m/>
    <n v="47567015"/>
    <s v="Almacén"/>
    <n v="41756150"/>
    <x v="0"/>
    <m/>
    <m/>
    <m/>
    <m/>
  </r>
  <r>
    <x v="93"/>
    <s v="0"/>
    <x v="90"/>
    <d v="2019-08-01T00:00:00"/>
    <n v="5377570"/>
    <n v="-5377570"/>
    <n v="0"/>
    <s v="COP"/>
    <s v="3009"/>
    <s v="CO52001"/>
    <m/>
    <n v="47567015"/>
    <s v="Almacén"/>
    <n v="41756150"/>
    <x v="0"/>
    <m/>
    <m/>
    <m/>
    <m/>
  </r>
  <r>
    <x v="94"/>
    <s v="0"/>
    <x v="91"/>
    <d v="2019-08-01T00:00:00"/>
    <n v="5377570"/>
    <n v="-5377570"/>
    <n v="0"/>
    <s v="COP"/>
    <s v="3009"/>
    <s v="CO52001"/>
    <m/>
    <n v="47567015"/>
    <s v="Almacén"/>
    <n v="41756150"/>
    <x v="0"/>
    <m/>
    <m/>
    <m/>
    <m/>
  </r>
  <r>
    <x v="95"/>
    <s v="0"/>
    <x v="92"/>
    <d v="2019-08-01T00:00:00"/>
    <n v="5377570"/>
    <n v="-5377570"/>
    <n v="0"/>
    <s v="COP"/>
    <s v="3009"/>
    <s v="CO52001"/>
    <m/>
    <n v="47567015"/>
    <s v="Almacén"/>
    <n v="41756150"/>
    <x v="0"/>
    <m/>
    <m/>
    <m/>
    <m/>
  </r>
  <r>
    <x v="96"/>
    <s v="0"/>
    <x v="92"/>
    <d v="2019-08-01T00:00:00"/>
    <n v="5377570"/>
    <n v="-5377570"/>
    <n v="0"/>
    <s v="COP"/>
    <s v="3009"/>
    <s v="CO52001"/>
    <m/>
    <n v="47567015"/>
    <s v="Almacén"/>
    <n v="41756150"/>
    <x v="0"/>
    <m/>
    <m/>
    <m/>
    <m/>
  </r>
  <r>
    <x v="97"/>
    <s v="0"/>
    <x v="93"/>
    <d v="2019-08-01T00:00:00"/>
    <n v="5420129"/>
    <n v="-5420129"/>
    <n v="0"/>
    <s v="COP"/>
    <s v="3009"/>
    <s v="CO52001"/>
    <m/>
    <n v="47567015"/>
    <s v="Almacén"/>
    <n v="41756150"/>
    <x v="0"/>
    <m/>
    <m/>
    <m/>
    <m/>
  </r>
  <r>
    <x v="98"/>
    <s v="0"/>
    <x v="94"/>
    <d v="2019-08-01T00:00:00"/>
    <n v="5420129"/>
    <n v="-5420129"/>
    <n v="0"/>
    <s v="COP"/>
    <s v="3009"/>
    <s v="CO52001"/>
    <m/>
    <n v="47567015"/>
    <s v="Almacén"/>
    <n v="41756150"/>
    <x v="0"/>
    <m/>
    <m/>
    <m/>
    <m/>
  </r>
  <r>
    <x v="99"/>
    <s v="0"/>
    <x v="95"/>
    <d v="2019-08-01T00:00:00"/>
    <n v="10497382"/>
    <n v="-10497382"/>
    <n v="0"/>
    <s v="COP"/>
    <s v="3009"/>
    <s v="CO52001"/>
    <m/>
    <n v="47567015"/>
    <s v="Almacén"/>
    <n v="41756150"/>
    <x v="0"/>
    <m/>
    <m/>
    <m/>
    <m/>
  </r>
  <r>
    <x v="100"/>
    <s v="0"/>
    <x v="95"/>
    <d v="2019-08-01T00:00:00"/>
    <n v="10497382"/>
    <n v="-10497382"/>
    <n v="0"/>
    <s v="COP"/>
    <s v="3009"/>
    <s v="CO52001"/>
    <m/>
    <n v="47567015"/>
    <s v="Almacén"/>
    <n v="41756150"/>
    <x v="0"/>
    <m/>
    <m/>
    <m/>
    <m/>
  </r>
  <r>
    <x v="101"/>
    <s v="0"/>
    <x v="95"/>
    <d v="2019-08-01T00:00:00"/>
    <n v="10497382"/>
    <n v="-10497382"/>
    <n v="0"/>
    <s v="COP"/>
    <s v="3009"/>
    <s v="CO52001"/>
    <m/>
    <n v="47567015"/>
    <s v="Almacén"/>
    <n v="41756150"/>
    <x v="0"/>
    <m/>
    <m/>
    <m/>
    <m/>
  </r>
  <r>
    <x v="102"/>
    <s v="0"/>
    <x v="96"/>
    <d v="2019-08-01T00:00:00"/>
    <n v="10680615"/>
    <n v="-10680615"/>
    <n v="0"/>
    <s v="COP"/>
    <s v="3009"/>
    <s v="CO52001"/>
    <m/>
    <n v="47567015"/>
    <s v="Almacén"/>
    <n v="41756150"/>
    <x v="0"/>
    <m/>
    <m/>
    <m/>
    <m/>
  </r>
  <r>
    <x v="103"/>
    <s v="0"/>
    <x v="97"/>
    <d v="2019-08-01T00:00:00"/>
    <n v="16132710"/>
    <n v="-16132710"/>
    <n v="0"/>
    <s v="COP"/>
    <s v="3009"/>
    <s v="CO52001"/>
    <m/>
    <n v="47567015"/>
    <s v="Almacén"/>
    <n v="41756150"/>
    <x v="0"/>
    <m/>
    <m/>
    <m/>
    <m/>
  </r>
  <r>
    <x v="104"/>
    <s v="0"/>
    <x v="98"/>
    <d v="2019-08-01T00:00:00"/>
    <n v="19332946"/>
    <n v="-19332946"/>
    <n v="0"/>
    <s v="COP"/>
    <s v="3009"/>
    <s v="CO52001"/>
    <m/>
    <n v="47567015"/>
    <s v="Almacén"/>
    <n v="41756150"/>
    <x v="0"/>
    <m/>
    <m/>
    <m/>
    <m/>
  </r>
  <r>
    <x v="105"/>
    <s v="0"/>
    <x v="99"/>
    <d v="2019-09-30T00:00:00"/>
    <n v="2380000"/>
    <n v="-2380000"/>
    <n v="0"/>
    <s v="COP"/>
    <s v="3009"/>
    <s v="CO52001"/>
    <m/>
    <n v="47567015"/>
    <s v="Almacén"/>
    <n v="41756150"/>
    <x v="0"/>
    <m/>
    <m/>
    <m/>
    <m/>
  </r>
  <r>
    <x v="106"/>
    <s v="0"/>
    <x v="100"/>
    <d v="2019-10-01T00:00:00"/>
    <n v="7946237"/>
    <n v="-5128318"/>
    <n v="2817919"/>
    <s v="COP"/>
    <s v="3009"/>
    <s v="CO47001"/>
    <m/>
    <n v="47544032"/>
    <s v="Laboratório Aceite, Encapasuldo y Seco &gt;300 kVA"/>
    <n v="41754150"/>
    <x v="3"/>
    <m/>
    <m/>
    <m/>
    <m/>
  </r>
  <r>
    <x v="107"/>
    <s v="0"/>
    <x v="101"/>
    <d v="2019-11-13T00:00:00"/>
    <n v="9550000"/>
    <n v="-6123556"/>
    <n v="3426444"/>
    <s v="COP"/>
    <s v="3009"/>
    <s v="CO41001"/>
    <m/>
    <n v="47544011"/>
    <s v="Preparación e Pintura Soldadura"/>
    <n v="41754150"/>
    <x v="2"/>
    <m/>
    <m/>
    <m/>
    <m/>
  </r>
  <r>
    <x v="108"/>
    <s v="0"/>
    <x v="39"/>
    <d v="2019-11-20T00:00:00"/>
    <n v="5505434"/>
    <n v="-5505434"/>
    <n v="0"/>
    <s v="COP"/>
    <s v="3009"/>
    <s v="CO52001"/>
    <m/>
    <n v="47567015"/>
    <s v="Almacén"/>
    <n v="41756150"/>
    <x v="0"/>
    <m/>
    <m/>
    <m/>
    <m/>
  </r>
  <r>
    <x v="109"/>
    <s v="0"/>
    <x v="102"/>
    <d v="2019-11-21T00:00:00"/>
    <n v="4290000"/>
    <n v="-4290000"/>
    <n v="0"/>
    <s v="COP"/>
    <s v="3009"/>
    <s v="CO52001"/>
    <m/>
    <n v="47567015"/>
    <s v="Almacén"/>
    <n v="41756150"/>
    <x v="0"/>
    <m/>
    <m/>
    <m/>
    <m/>
  </r>
  <r>
    <x v="110"/>
    <s v="0"/>
    <x v="102"/>
    <d v="2019-11-21T00:00:00"/>
    <n v="4290000"/>
    <n v="-4290000"/>
    <n v="0"/>
    <s v="COP"/>
    <s v="3009"/>
    <s v="CO52001"/>
    <m/>
    <n v="47567015"/>
    <s v="Almacén"/>
    <n v="41756150"/>
    <x v="0"/>
    <m/>
    <m/>
    <m/>
    <m/>
  </r>
  <r>
    <x v="111"/>
    <s v="0"/>
    <x v="103"/>
    <d v="2019-11-21T00:00:00"/>
    <n v="33786000"/>
    <n v="-21663923"/>
    <n v="12122077"/>
    <s v="COP"/>
    <s v="3009"/>
    <s v="CO47001"/>
    <m/>
    <n v="47544032"/>
    <s v="Laboratório Aceite, Encapasuldo y Seco &gt;300 kVA"/>
    <n v="41754150"/>
    <x v="3"/>
    <m/>
    <m/>
    <m/>
    <m/>
  </r>
  <r>
    <x v="112"/>
    <s v="0"/>
    <x v="104"/>
    <d v="2019-12-09T00:00:00"/>
    <n v="6283304"/>
    <n v="-6283304"/>
    <n v="0"/>
    <s v="COP"/>
    <s v="3009"/>
    <s v="CO52001"/>
    <m/>
    <n v="47567015"/>
    <s v="Almacén"/>
    <n v="41756150"/>
    <x v="0"/>
    <m/>
    <m/>
    <m/>
    <m/>
  </r>
  <r>
    <x v="113"/>
    <s v="0"/>
    <x v="105"/>
    <d v="2020-01-01T00:00:00"/>
    <n v="37871750"/>
    <n v="-23968149"/>
    <n v="13903601"/>
    <s v="COP"/>
    <s v="3009"/>
    <s v="CO41001"/>
    <m/>
    <n v="47567015"/>
    <s v="Almacén"/>
    <n v="41756150"/>
    <x v="0"/>
    <m/>
    <m/>
    <m/>
    <m/>
  </r>
  <r>
    <x v="114"/>
    <s v="0"/>
    <x v="106"/>
    <d v="2020-01-01T00:00:00"/>
    <n v="39490000"/>
    <n v="-24992301"/>
    <n v="14497699"/>
    <s v="COP"/>
    <s v="3009"/>
    <s v="CO41001"/>
    <m/>
    <n v="47544018"/>
    <s v="Devanados Encapsulados"/>
    <n v="41754150"/>
    <x v="7"/>
    <m/>
    <m/>
    <m/>
    <m/>
  </r>
  <r>
    <x v="115"/>
    <s v="0"/>
    <x v="107"/>
    <d v="2020-01-01T00:00:00"/>
    <n v="79490000"/>
    <n v="-50307370"/>
    <n v="29182630"/>
    <s v="COP"/>
    <s v="3009"/>
    <s v="CO41001"/>
    <m/>
    <n v="47544018"/>
    <s v="Devanados Encapsulados"/>
    <n v="41754150"/>
    <x v="7"/>
    <m/>
    <m/>
    <m/>
    <m/>
  </r>
  <r>
    <x v="116"/>
    <s v="0"/>
    <x v="108"/>
    <d v="2020-01-20T00:00:00"/>
    <n v="14091704"/>
    <n v="-8918309"/>
    <n v="5173395"/>
    <s v="COP"/>
    <s v="3009"/>
    <s v="CO51001"/>
    <m/>
    <n v="47567015"/>
    <s v="Almacén"/>
    <n v="41756150"/>
    <x v="0"/>
    <m/>
    <m/>
    <m/>
    <m/>
  </r>
  <r>
    <x v="117"/>
    <s v="0"/>
    <x v="109"/>
    <d v="2020-02-11T00:00:00"/>
    <n v="13364890"/>
    <n v="-8345128"/>
    <n v="5019762"/>
    <s v="COP"/>
    <s v="3009"/>
    <s v="CO47001"/>
    <m/>
    <n v="47544032"/>
    <s v="Laboratório Aceite, Encapasuldo y Seco &gt;300 kVA"/>
    <n v="41754150"/>
    <x v="2"/>
    <m/>
    <m/>
    <m/>
    <m/>
  </r>
  <r>
    <x v="118"/>
    <s v="0"/>
    <x v="110"/>
    <d v="2020-02-21T00:00:00"/>
    <n v="3000000"/>
    <n v="-3000000"/>
    <n v="0"/>
    <s v="COP"/>
    <s v="3009"/>
    <s v="CO52001"/>
    <m/>
    <n v="47567015"/>
    <s v="Almacén"/>
    <n v="41756150"/>
    <x v="0"/>
    <m/>
    <m/>
    <m/>
    <m/>
  </r>
  <r>
    <x v="119"/>
    <s v="0"/>
    <x v="111"/>
    <d v="2020-03-04T00:00:00"/>
    <n v="3819900"/>
    <n v="-3819900"/>
    <n v="0"/>
    <s v="COP"/>
    <s v="3009"/>
    <s v="CO52001"/>
    <m/>
    <n v="47567015"/>
    <s v="Almacén"/>
    <n v="41756150"/>
    <x v="0"/>
    <m/>
    <m/>
    <m/>
    <m/>
  </r>
  <r>
    <x v="120"/>
    <s v="0"/>
    <x v="111"/>
    <d v="2020-03-04T00:00:00"/>
    <n v="3819900"/>
    <n v="-3819900"/>
    <n v="0"/>
    <s v="COP"/>
    <s v="3009"/>
    <s v="CO52001"/>
    <m/>
    <n v="47567015"/>
    <s v="Almacén"/>
    <n v="41756150"/>
    <x v="0"/>
    <m/>
    <m/>
    <m/>
    <m/>
  </r>
  <r>
    <x v="121"/>
    <s v="0"/>
    <x v="111"/>
    <d v="2020-03-04T00:00:00"/>
    <n v="3819900"/>
    <n v="-3819900"/>
    <n v="0"/>
    <s v="COP"/>
    <s v="3009"/>
    <s v="CO52001"/>
    <m/>
    <n v="47567015"/>
    <s v="Almacén"/>
    <n v="41756150"/>
    <x v="0"/>
    <m/>
    <m/>
    <m/>
    <m/>
  </r>
  <r>
    <x v="122"/>
    <s v="0"/>
    <x v="112"/>
    <d v="2020-04-21T00:00:00"/>
    <n v="3966080"/>
    <n v="-3966080"/>
    <n v="0"/>
    <s v="COP"/>
    <s v="3009"/>
    <s v="CO51001"/>
    <m/>
    <n v="47567015"/>
    <s v="Almacén"/>
    <n v="41756150"/>
    <x v="0"/>
    <m/>
    <m/>
    <m/>
    <m/>
  </r>
  <r>
    <x v="123"/>
    <s v="0"/>
    <x v="113"/>
    <d v="2020-04-21T00:00:00"/>
    <n v="3966080"/>
    <n v="-3966080"/>
    <n v="0"/>
    <s v="COP"/>
    <s v="3009"/>
    <s v="CO51001"/>
    <m/>
    <n v="47567015"/>
    <s v="Almacén"/>
    <n v="41756150"/>
    <x v="0"/>
    <m/>
    <m/>
    <m/>
    <m/>
  </r>
  <r>
    <x v="124"/>
    <s v="0"/>
    <x v="114"/>
    <d v="2020-05-01T00:00:00"/>
    <n v="1275296002"/>
    <n v="-764943715"/>
    <n v="510352287"/>
    <s v="COP"/>
    <s v="3009"/>
    <s v="CO41001"/>
    <m/>
    <n v="47544015"/>
    <s v="Corte Silicio"/>
    <n v="41754150"/>
    <x v="6"/>
    <m/>
    <m/>
    <m/>
    <m/>
  </r>
  <r>
    <x v="125"/>
    <s v="0"/>
    <x v="115"/>
    <d v="2020-05-07T00:00:00"/>
    <n v="50634214"/>
    <n v="-30371240"/>
    <n v="20262974"/>
    <s v="COP"/>
    <s v="3009"/>
    <s v="CO47001"/>
    <m/>
    <n v="47544032"/>
    <s v="Laboratório Aceite, Encapasuldo y Seco &gt;300 kVA"/>
    <n v="41754150"/>
    <x v="17"/>
    <m/>
    <m/>
    <m/>
    <m/>
  </r>
  <r>
    <x v="126"/>
    <s v="0"/>
    <x v="116"/>
    <d v="2020-05-12T00:00:00"/>
    <n v="100300340"/>
    <n v="-60161809"/>
    <n v="40138531"/>
    <s v="COP"/>
    <s v="3009"/>
    <s v="CO47001"/>
    <m/>
    <n v="47544032"/>
    <s v="Laboratório Aceite, Encapasuldo y Seco &gt;300 kVA"/>
    <n v="41754150"/>
    <x v="3"/>
    <m/>
    <m/>
    <m/>
    <m/>
  </r>
  <r>
    <x v="127"/>
    <s v="0"/>
    <x v="117"/>
    <d v="2020-05-20T00:00:00"/>
    <n v="3485000"/>
    <n v="-3485000"/>
    <n v="0"/>
    <s v="COP"/>
    <s v="3009"/>
    <s v="CO52001"/>
    <m/>
    <n v="47567015"/>
    <s v="Almacén"/>
    <n v="41756150"/>
    <x v="0"/>
    <m/>
    <m/>
    <m/>
    <m/>
  </r>
  <r>
    <x v="128"/>
    <s v="0"/>
    <x v="118"/>
    <d v="2020-07-31T00:00:00"/>
    <n v="1327889"/>
    <n v="-1083592"/>
    <n v="244297"/>
    <s v="COP"/>
    <s v="3009"/>
    <s v="CO41001"/>
    <m/>
    <n v="47567021"/>
    <s v="Servicios en Sitio"/>
    <n v="41756150"/>
    <x v="18"/>
    <m/>
    <m/>
    <m/>
    <m/>
  </r>
  <r>
    <x v="129"/>
    <s v="0"/>
    <x v="119"/>
    <d v="2020-07-31T00:00:00"/>
    <n v="2184905"/>
    <n v="-1274129"/>
    <n v="910776"/>
    <s v="COP"/>
    <s v="3009"/>
    <s v="CO41001"/>
    <m/>
    <n v="47544025"/>
    <s v="Encubado"/>
    <n v="41754150"/>
    <x v="6"/>
    <m/>
    <m/>
    <m/>
    <m/>
  </r>
  <r>
    <x v="130"/>
    <s v="0"/>
    <x v="120"/>
    <d v="2020-07-31T00:00:00"/>
    <n v="2270256"/>
    <n v="-2270256"/>
    <n v="0"/>
    <s v="COP"/>
    <s v="3009"/>
    <s v="CO52001"/>
    <m/>
    <n v="47567015"/>
    <s v="Almacén"/>
    <n v="41756150"/>
    <x v="0"/>
    <m/>
    <m/>
    <m/>
    <m/>
  </r>
  <r>
    <x v="131"/>
    <s v="0"/>
    <x v="121"/>
    <d v="2020-07-31T00:00:00"/>
    <n v="2270256"/>
    <n v="-2270256"/>
    <n v="0"/>
    <s v="COP"/>
    <s v="3009"/>
    <s v="CO52001"/>
    <m/>
    <n v="47567015"/>
    <s v="Almacén"/>
    <n v="41756150"/>
    <x v="0"/>
    <m/>
    <m/>
    <m/>
    <m/>
  </r>
  <r>
    <x v="132"/>
    <s v="0"/>
    <x v="122"/>
    <d v="2020-07-31T00:00:00"/>
    <n v="3991991"/>
    <n v="-2327929"/>
    <n v="1664062"/>
    <s v="COP"/>
    <s v="3009"/>
    <s v="CO47001"/>
    <m/>
    <n v="47544032"/>
    <s v="Laboratório Aceite, Encapasuldo y Seco &gt;300 kVA"/>
    <n v="41754150"/>
    <x v="3"/>
    <m/>
    <m/>
    <m/>
    <m/>
  </r>
  <r>
    <x v="133"/>
    <s v="0"/>
    <x v="123"/>
    <d v="2020-07-31T00:00:00"/>
    <n v="5708738"/>
    <n v="-3329052"/>
    <n v="2379686"/>
    <s v="COP"/>
    <s v="3009"/>
    <s v="CO47001"/>
    <m/>
    <n v="47544032"/>
    <s v="Laboratório Aceite, Encapasuldo y Seco &gt;300 kVA"/>
    <n v="41754150"/>
    <x v="3"/>
    <m/>
    <m/>
    <m/>
    <m/>
  </r>
  <r>
    <x v="134"/>
    <s v="0"/>
    <x v="124"/>
    <d v="2020-07-31T00:00:00"/>
    <n v="6367450"/>
    <n v="-3713178"/>
    <n v="2654272"/>
    <s v="COP"/>
    <s v="3009"/>
    <s v="CO47001"/>
    <m/>
    <n v="47544032"/>
    <s v="Laboratório Aceite, Encapasuldo y Seco &gt;300 kVA"/>
    <n v="41754150"/>
    <x v="3"/>
    <m/>
    <m/>
    <m/>
    <m/>
  </r>
  <r>
    <x v="135"/>
    <s v="0"/>
    <x v="125"/>
    <d v="2020-08-01T00:00:00"/>
    <n v="93900000"/>
    <n v="-53962451"/>
    <n v="39937549"/>
    <s v="COP"/>
    <s v="3009"/>
    <s v="CO41001"/>
    <m/>
    <n v="47544026"/>
    <s v="Tratamiento Térmico"/>
    <n v="41754150"/>
    <x v="19"/>
    <m/>
    <m/>
    <m/>
    <m/>
  </r>
  <r>
    <x v="136"/>
    <s v="0"/>
    <x v="126"/>
    <d v="2020-09-01T00:00:00"/>
    <n v="20725802"/>
    <n v="-20725802"/>
    <n v="0"/>
    <s v="COP"/>
    <s v="3009"/>
    <s v="CO51001"/>
    <m/>
    <n v="47567015"/>
    <s v="Almacén"/>
    <n v="41756150"/>
    <x v="0"/>
    <m/>
    <m/>
    <m/>
    <m/>
  </r>
  <r>
    <x v="137"/>
    <s v="0"/>
    <x v="127"/>
    <d v="2020-09-30T00:00:00"/>
    <n v="1138500"/>
    <n v="-909760"/>
    <n v="228740"/>
    <s v="COP"/>
    <s v="3009"/>
    <s v="CO41001"/>
    <m/>
    <n v="47544021"/>
    <s v="Devanados Seco DT, MF y MDF"/>
    <n v="41754150"/>
    <x v="6"/>
    <m/>
    <m/>
    <m/>
    <m/>
  </r>
  <r>
    <x v="138"/>
    <s v="0"/>
    <x v="128"/>
    <d v="2020-09-30T00:00:00"/>
    <n v="2618000"/>
    <n v="-1482338"/>
    <n v="1135662"/>
    <s v="COP"/>
    <s v="3009"/>
    <s v="CO41001"/>
    <m/>
    <n v="47544032"/>
    <s v="Laboratório Aceite, Encapasuldo y Seco &gt;300 kVA"/>
    <n v="41754150"/>
    <x v="3"/>
    <m/>
    <m/>
    <m/>
    <m/>
  </r>
  <r>
    <x v="139"/>
    <s v="0"/>
    <x v="129"/>
    <d v="2020-09-02T00:00:00"/>
    <n v="16707667"/>
    <n v="-9460050"/>
    <n v="7247617"/>
    <s v="COP"/>
    <s v="3009"/>
    <s v="CO41001"/>
    <m/>
    <n v="47544018"/>
    <s v="Devanados Encapsulados"/>
    <n v="41754150"/>
    <x v="11"/>
    <m/>
    <m/>
    <m/>
    <m/>
  </r>
  <r>
    <x v="140"/>
    <s v="0"/>
    <x v="130"/>
    <d v="2020-09-30T00:00:00"/>
    <n v="23015495"/>
    <n v="-23015495"/>
    <n v="0"/>
    <s v="COP"/>
    <s v="3009"/>
    <s v="CO53001"/>
    <m/>
    <n v="47500051"/>
    <s v="TI"/>
    <n v="41750150"/>
    <x v="5"/>
    <m/>
    <m/>
    <m/>
    <m/>
  </r>
  <r>
    <x v="141"/>
    <s v="0"/>
    <x v="131"/>
    <d v="2020-09-30T00:00:00"/>
    <n v="9166110"/>
    <n v="-9166110"/>
    <n v="0"/>
    <s v="COP"/>
    <s v="3009"/>
    <s v="CO53001"/>
    <m/>
    <n v="47500051"/>
    <s v="TI"/>
    <n v="41750150"/>
    <x v="5"/>
    <m/>
    <m/>
    <m/>
    <m/>
  </r>
  <r>
    <x v="142"/>
    <s v="0"/>
    <x v="132"/>
    <d v="2015-01-01T00:00:00"/>
    <n v="110400"/>
    <n v="-110400"/>
    <n v="0"/>
    <s v="COP"/>
    <s v="3009"/>
    <s v="CO51001"/>
    <m/>
    <n v="47502031"/>
    <s v="Compras"/>
    <n v="41750150"/>
    <x v="5"/>
    <m/>
    <m/>
    <m/>
    <m/>
  </r>
  <r>
    <x v="143"/>
    <s v="0"/>
    <x v="133"/>
    <d v="2015-01-01T00:00:00"/>
    <n v="110400"/>
    <n v="-110400"/>
    <n v="0"/>
    <s v="COP"/>
    <s v="3009"/>
    <s v="CO51001"/>
    <m/>
    <n v="47567015"/>
    <s v="Almacén"/>
    <n v="41756150"/>
    <x v="0"/>
    <m/>
    <m/>
    <m/>
    <m/>
  </r>
  <r>
    <x v="144"/>
    <s v="0"/>
    <x v="134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45"/>
    <s v="0"/>
    <x v="135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46"/>
    <s v="0"/>
    <x v="136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47"/>
    <s v="0"/>
    <x v="136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48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49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50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51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52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53"/>
    <s v="0"/>
    <x v="137"/>
    <d v="2015-01-01T00:00:00"/>
    <n v="164000"/>
    <n v="-164000"/>
    <n v="0"/>
    <s v="COP"/>
    <s v="3009"/>
    <s v="CO51001"/>
    <m/>
    <n v="47502031"/>
    <s v="Compras"/>
    <n v="41750150"/>
    <x v="5"/>
    <m/>
    <m/>
    <m/>
    <m/>
  </r>
  <r>
    <x v="154"/>
    <s v="0"/>
    <x v="138"/>
    <d v="2015-01-01T00:00:00"/>
    <n v="190000"/>
    <n v="-190000"/>
    <n v="0"/>
    <s v="COP"/>
    <s v="3009"/>
    <s v="CO42001"/>
    <m/>
    <n v="47544032"/>
    <s v="Laboratório Aceite, Encapasuldo y Seco &gt;300 kVA"/>
    <n v="41754150"/>
    <x v="12"/>
    <m/>
    <m/>
    <m/>
    <s v="HERRAMIENTAS MANUAL"/>
  </r>
  <r>
    <x v="155"/>
    <s v="0"/>
    <x v="139"/>
    <d v="2015-01-01T00:00:00"/>
    <n v="190000"/>
    <n v="-190000"/>
    <n v="0"/>
    <s v="COP"/>
    <s v="3009"/>
    <s v="CO42001"/>
    <m/>
    <n v="47544032"/>
    <s v="Laboratório Aceite, Encapasuldo y Seco &gt;300 kVA"/>
    <n v="41754150"/>
    <x v="12"/>
    <m/>
    <m/>
    <m/>
    <s v="HERRAMIENTAS MANUAL"/>
  </r>
  <r>
    <x v="156"/>
    <s v="0"/>
    <x v="140"/>
    <d v="2015-01-01T00:00:00"/>
    <n v="200000"/>
    <n v="-200000"/>
    <n v="0"/>
    <s v="COP"/>
    <s v="3009"/>
    <s v="CO51001"/>
    <m/>
    <n v="47502031"/>
    <s v="Compras"/>
    <n v="41750150"/>
    <x v="5"/>
    <m/>
    <m/>
    <m/>
    <m/>
  </r>
  <r>
    <x v="157"/>
    <s v="0"/>
    <x v="140"/>
    <d v="2015-01-01T00:00:00"/>
    <n v="200000"/>
    <n v="-200000"/>
    <n v="0"/>
    <s v="COP"/>
    <s v="3009"/>
    <s v="CO51001"/>
    <m/>
    <n v="47502031"/>
    <s v="Compras"/>
    <n v="41750150"/>
    <x v="5"/>
    <m/>
    <m/>
    <m/>
    <m/>
  </r>
  <r>
    <x v="158"/>
    <s v="0"/>
    <x v="141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59"/>
    <s v="0"/>
    <x v="142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0"/>
    <s v="0"/>
    <x v="143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1"/>
    <s v="0"/>
    <x v="143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2"/>
    <s v="0"/>
    <x v="143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3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4"/>
    <s v="0"/>
    <x v="145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5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6"/>
    <s v="0"/>
    <x v="137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7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8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69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70"/>
    <s v="0"/>
    <x v="146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71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72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73"/>
    <s v="0"/>
    <x v="144"/>
    <d v="2015-01-01T00:00:00"/>
    <n v="240000"/>
    <n v="-240000"/>
    <n v="0"/>
    <s v="COP"/>
    <s v="3009"/>
    <s v="CO51001"/>
    <m/>
    <n v="47567015"/>
    <s v="Almacén"/>
    <n v="41756150"/>
    <x v="0"/>
    <m/>
    <m/>
    <m/>
    <m/>
  </r>
  <r>
    <x v="174"/>
    <s v="0"/>
    <x v="147"/>
    <d v="2015-01-01T00:00:00"/>
    <n v="256000"/>
    <n v="-256000"/>
    <n v="0"/>
    <s v="COP"/>
    <s v="3009"/>
    <s v="CO51001"/>
    <m/>
    <n v="47567015"/>
    <s v="Almacén"/>
    <n v="41756150"/>
    <x v="0"/>
    <m/>
    <m/>
    <m/>
    <m/>
  </r>
  <r>
    <x v="175"/>
    <s v="0"/>
    <x v="148"/>
    <d v="2015-01-01T00:00:00"/>
    <n v="268000"/>
    <n v="-268000"/>
    <n v="0"/>
    <s v="COP"/>
    <s v="3009"/>
    <s v="CO51001"/>
    <m/>
    <n v="47567015"/>
    <s v="Almacén"/>
    <n v="41756150"/>
    <x v="0"/>
    <m/>
    <m/>
    <m/>
    <m/>
  </r>
  <r>
    <x v="176"/>
    <s v="0"/>
    <x v="148"/>
    <d v="2015-01-01T00:00:00"/>
    <n v="268000"/>
    <n v="-268000"/>
    <n v="0"/>
    <s v="COP"/>
    <s v="3009"/>
    <s v="CO51001"/>
    <m/>
    <n v="47567015"/>
    <s v="Almacén"/>
    <n v="41756150"/>
    <x v="0"/>
    <m/>
    <m/>
    <m/>
    <m/>
  </r>
  <r>
    <x v="177"/>
    <s v="0"/>
    <x v="149"/>
    <d v="2015-01-01T00:00:00"/>
    <n v="280000"/>
    <n v="-280000"/>
    <n v="0"/>
    <s v="COP"/>
    <s v="3009"/>
    <s v="CO51001"/>
    <m/>
    <n v="47567015"/>
    <s v="Almacén"/>
    <n v="41756150"/>
    <x v="0"/>
    <m/>
    <m/>
    <m/>
    <m/>
  </r>
  <r>
    <x v="178"/>
    <s v="0"/>
    <x v="150"/>
    <d v="2015-01-01T00:00:00"/>
    <n v="280000"/>
    <n v="-280000"/>
    <n v="0"/>
    <s v="COP"/>
    <s v="3009"/>
    <s v="CO51001"/>
    <m/>
    <n v="47567015"/>
    <s v="Almacén"/>
    <n v="41756150"/>
    <x v="0"/>
    <m/>
    <m/>
    <m/>
    <m/>
  </r>
  <r>
    <x v="179"/>
    <s v="0"/>
    <x v="151"/>
    <d v="2015-01-01T00:00:00"/>
    <n v="280000"/>
    <n v="-280000"/>
    <n v="0"/>
    <s v="COP"/>
    <s v="3009"/>
    <s v="CO51001"/>
    <m/>
    <n v="47567015"/>
    <s v="Almacén"/>
    <n v="41756150"/>
    <x v="0"/>
    <m/>
    <m/>
    <m/>
    <m/>
  </r>
  <r>
    <x v="180"/>
    <s v="0"/>
    <x v="152"/>
    <d v="2015-01-01T00:00:00"/>
    <n v="280000"/>
    <n v="-280000"/>
    <n v="0"/>
    <s v="COP"/>
    <s v="3009"/>
    <s v="CO51001"/>
    <m/>
    <n v="47567015"/>
    <s v="Almacén"/>
    <n v="41756150"/>
    <x v="0"/>
    <m/>
    <m/>
    <m/>
    <m/>
  </r>
  <r>
    <x v="181"/>
    <s v="0"/>
    <x v="153"/>
    <d v="2015-01-01T00:00:00"/>
    <n v="304000"/>
    <n v="-304000"/>
    <n v="0"/>
    <s v="COP"/>
    <s v="3009"/>
    <s v="CO51001"/>
    <m/>
    <n v="47502031"/>
    <s v="Compras"/>
    <n v="41750150"/>
    <x v="5"/>
    <m/>
    <m/>
    <m/>
    <m/>
  </r>
  <r>
    <x v="182"/>
    <s v="0"/>
    <x v="154"/>
    <d v="2015-01-01T00:00:00"/>
    <n v="450000"/>
    <n v="-450000"/>
    <n v="0"/>
    <s v="COP"/>
    <s v="3009"/>
    <s v="CO41001"/>
    <m/>
    <n v="47544023"/>
    <s v="Esamble Seco y Distribuicíon Aceite &lt;=300 kVA"/>
    <n v="41754150"/>
    <x v="12"/>
    <m/>
    <m/>
    <m/>
    <m/>
  </r>
  <r>
    <x v="183"/>
    <s v="0"/>
    <x v="151"/>
    <d v="2015-01-01T00:00:00"/>
    <n v="328000"/>
    <n v="-328000"/>
    <n v="0"/>
    <s v="COP"/>
    <s v="3009"/>
    <s v="CO51001"/>
    <m/>
    <n v="47502031"/>
    <s v="Compras"/>
    <n v="41750150"/>
    <x v="5"/>
    <m/>
    <m/>
    <m/>
    <m/>
  </r>
  <r>
    <x v="184"/>
    <s v="0"/>
    <x v="151"/>
    <d v="2015-01-01T00:00:00"/>
    <n v="328000"/>
    <n v="-328000"/>
    <n v="0"/>
    <s v="COP"/>
    <s v="3009"/>
    <s v="CO51001"/>
    <m/>
    <n v="47502031"/>
    <s v="Compras"/>
    <n v="41750150"/>
    <x v="5"/>
    <m/>
    <m/>
    <m/>
    <m/>
  </r>
  <r>
    <x v="185"/>
    <s v="0"/>
    <x v="155"/>
    <d v="2015-01-01T00:00:00"/>
    <n v="335000"/>
    <n v="-335000"/>
    <n v="0"/>
    <s v="COP"/>
    <s v="3009"/>
    <s v="CO51001"/>
    <m/>
    <n v="47567015"/>
    <s v="Almacén"/>
    <n v="41756150"/>
    <x v="0"/>
    <m/>
    <m/>
    <m/>
    <m/>
  </r>
  <r>
    <x v="186"/>
    <s v="0"/>
    <x v="156"/>
    <d v="2015-01-01T00:00:00"/>
    <n v="350000"/>
    <n v="-350000"/>
    <n v="0"/>
    <s v="COP"/>
    <s v="3009"/>
    <s v="CO51001"/>
    <m/>
    <n v="47567015"/>
    <s v="Almacén"/>
    <n v="41756150"/>
    <x v="0"/>
    <m/>
    <m/>
    <m/>
    <m/>
  </r>
  <r>
    <x v="187"/>
    <s v="0"/>
    <x v="145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88"/>
    <s v="0"/>
    <x v="145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89"/>
    <s v="0"/>
    <x v="145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90"/>
    <s v="0"/>
    <x v="142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91"/>
    <s v="0"/>
    <x v="142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92"/>
    <s v="0"/>
    <x v="142"/>
    <d v="2015-01-01T00:00:00"/>
    <n v="360000"/>
    <n v="-360000"/>
    <n v="0"/>
    <s v="COP"/>
    <s v="3009"/>
    <s v="CO51001"/>
    <m/>
    <n v="47567015"/>
    <s v="Almacén"/>
    <n v="41756150"/>
    <x v="0"/>
    <m/>
    <m/>
    <m/>
    <m/>
  </r>
  <r>
    <x v="193"/>
    <s v="0"/>
    <x v="157"/>
    <d v="2015-01-01T00:00:00"/>
    <n v="420000"/>
    <n v="-420000"/>
    <n v="0"/>
    <s v="COP"/>
    <s v="3009"/>
    <s v="CO51001"/>
    <m/>
    <n v="47567015"/>
    <s v="Almacén"/>
    <n v="41756150"/>
    <x v="0"/>
    <m/>
    <m/>
    <m/>
    <m/>
  </r>
  <r>
    <x v="194"/>
    <s v="0"/>
    <x v="158"/>
    <d v="2015-01-01T00:00:00"/>
    <n v="600000"/>
    <n v="-600000"/>
    <n v="0"/>
    <s v="COP"/>
    <s v="3009"/>
    <s v="CO41001"/>
    <m/>
    <n v="47544032"/>
    <s v="Laboratório Aceite, Encapasuldo y Seco &gt;300 kVA"/>
    <n v="41754150"/>
    <x v="3"/>
    <m/>
    <m/>
    <m/>
    <m/>
  </r>
  <r>
    <x v="195"/>
    <s v="0"/>
    <x v="159"/>
    <d v="2015-01-01T00:00:00"/>
    <n v="600000"/>
    <n v="-600000"/>
    <n v="0"/>
    <s v="COP"/>
    <s v="3009"/>
    <s v="CO41001"/>
    <m/>
    <n v="47544032"/>
    <s v="Laboratório Aceite, Encapasuldo y Seco &gt;300 kVA"/>
    <n v="41754150"/>
    <x v="3"/>
    <m/>
    <m/>
    <m/>
    <m/>
  </r>
  <r>
    <x v="196"/>
    <s v="0"/>
    <x v="160"/>
    <d v="2015-01-01T00:00:00"/>
    <n v="600000"/>
    <n v="-600000"/>
    <n v="0"/>
    <s v="COP"/>
    <s v="3009"/>
    <s v="CO41001"/>
    <m/>
    <n v="47544032"/>
    <s v="Laboratório Aceite, Encapasuldo y Seco &gt;300 kVA"/>
    <n v="41754150"/>
    <x v="3"/>
    <m/>
    <m/>
    <m/>
    <m/>
  </r>
  <r>
    <x v="197"/>
    <s v="0"/>
    <x v="161"/>
    <d v="2015-01-01T00:00:00"/>
    <n v="460000"/>
    <n v="-460000"/>
    <n v="0"/>
    <s v="COP"/>
    <s v="3009"/>
    <s v="CO51001"/>
    <m/>
    <n v="47567015"/>
    <s v="Almacén"/>
    <n v="41756150"/>
    <x v="0"/>
    <m/>
    <m/>
    <m/>
    <m/>
  </r>
  <r>
    <x v="198"/>
    <s v="0"/>
    <x v="161"/>
    <d v="2015-01-01T00:00:00"/>
    <n v="460000"/>
    <n v="-460000"/>
    <n v="0"/>
    <s v="COP"/>
    <s v="3009"/>
    <s v="CO51001"/>
    <m/>
    <n v="47567015"/>
    <s v="Almacén"/>
    <n v="41756150"/>
    <x v="0"/>
    <m/>
    <m/>
    <m/>
    <m/>
  </r>
  <r>
    <x v="199"/>
    <s v="0"/>
    <x v="162"/>
    <d v="2015-01-01T00:00:00"/>
    <n v="460000"/>
    <n v="-460000"/>
    <n v="0"/>
    <s v="COP"/>
    <s v="3009"/>
    <s v="CO51001"/>
    <m/>
    <n v="47567015"/>
    <s v="Almacén"/>
    <n v="41756150"/>
    <x v="0"/>
    <m/>
    <m/>
    <m/>
    <m/>
  </r>
  <r>
    <x v="200"/>
    <s v="0"/>
    <x v="163"/>
    <d v="2015-01-01T00:00:00"/>
    <n v="450000"/>
    <n v="-450000"/>
    <n v="0"/>
    <s v="COP"/>
    <s v="3009"/>
    <s v="CO41001"/>
    <m/>
    <n v="47544032"/>
    <s v="Laboratório Aceite, Encapasuldo y Seco &gt;300 kVA"/>
    <n v="41754150"/>
    <x v="3"/>
    <m/>
    <m/>
    <m/>
    <m/>
  </r>
  <r>
    <x v="201"/>
    <s v="0"/>
    <x v="164"/>
    <d v="2015-01-01T00:00:00"/>
    <n v="452000"/>
    <n v="-452000"/>
    <n v="0"/>
    <s v="COP"/>
    <s v="3009"/>
    <s v="CO42001"/>
    <m/>
    <n v="47544032"/>
    <s v="Laboratório Aceite, Encapasuldo y Seco &gt;300 kVA"/>
    <n v="41754150"/>
    <x v="12"/>
    <m/>
    <m/>
    <m/>
    <s v="HERRAMIENTAS MANUAL"/>
  </r>
  <r>
    <x v="202"/>
    <s v="0"/>
    <x v="165"/>
    <d v="2015-01-01T00:00:00"/>
    <n v="477000"/>
    <n v="-477000"/>
    <n v="0"/>
    <s v="COP"/>
    <s v="3009"/>
    <s v="CO51001"/>
    <m/>
    <n v="47567015"/>
    <s v="Almacén"/>
    <n v="41756150"/>
    <x v="0"/>
    <m/>
    <m/>
    <m/>
    <m/>
  </r>
  <r>
    <x v="203"/>
    <s v="0"/>
    <x v="166"/>
    <d v="2015-01-01T00:00:00"/>
    <n v="519000"/>
    <n v="-519000"/>
    <n v="0"/>
    <s v="COP"/>
    <s v="3009"/>
    <s v="CO51001"/>
    <m/>
    <n v="47502031"/>
    <s v="Compras"/>
    <n v="41750150"/>
    <x v="5"/>
    <m/>
    <m/>
    <m/>
    <m/>
  </r>
  <r>
    <x v="204"/>
    <s v="0"/>
    <x v="167"/>
    <d v="2015-01-01T00:00:00"/>
    <n v="599200"/>
    <n v="-599200"/>
    <n v="0"/>
    <s v="COP"/>
    <s v="3009"/>
    <s v="CO51001"/>
    <m/>
    <n v="47567015"/>
    <s v="Almacén"/>
    <n v="41756150"/>
    <x v="0"/>
    <m/>
    <m/>
    <m/>
    <m/>
  </r>
  <r>
    <x v="205"/>
    <s v="0"/>
    <x v="168"/>
    <d v="2015-01-01T00:00:00"/>
    <n v="600000"/>
    <n v="-600000"/>
    <n v="0"/>
    <s v="COP"/>
    <s v="3009"/>
    <s v="CO51001"/>
    <m/>
    <n v="47567015"/>
    <s v="Almacén"/>
    <n v="41756150"/>
    <x v="0"/>
    <m/>
    <m/>
    <m/>
    <m/>
  </r>
  <r>
    <x v="206"/>
    <s v="0"/>
    <x v="169"/>
    <d v="2015-01-01T00:00:00"/>
    <n v="690000"/>
    <n v="-690000"/>
    <n v="0"/>
    <s v="COP"/>
    <s v="3009"/>
    <s v="CO51001"/>
    <m/>
    <n v="47567015"/>
    <s v="Almacén"/>
    <n v="41756150"/>
    <x v="0"/>
    <m/>
    <m/>
    <m/>
    <m/>
  </r>
  <r>
    <x v="207"/>
    <s v="0"/>
    <x v="170"/>
    <d v="2015-01-01T00:00:00"/>
    <n v="796000"/>
    <n v="-796000"/>
    <n v="0"/>
    <s v="COP"/>
    <s v="3009"/>
    <s v="CO51001"/>
    <m/>
    <n v="47502031"/>
    <s v="Compras"/>
    <n v="41750150"/>
    <x v="5"/>
    <m/>
    <m/>
    <m/>
    <m/>
  </r>
  <r>
    <x v="208"/>
    <s v="0"/>
    <x v="171"/>
    <d v="2015-01-01T00:00:00"/>
    <n v="790000"/>
    <n v="-790000"/>
    <n v="0"/>
    <s v="COP"/>
    <s v="3009"/>
    <s v="CO41001"/>
    <m/>
    <n v="47544025"/>
    <s v="Encubado"/>
    <n v="41754150"/>
    <x v="4"/>
    <m/>
    <m/>
    <m/>
    <m/>
  </r>
  <r>
    <x v="209"/>
    <s v="0"/>
    <x v="172"/>
    <d v="2015-01-01T00:00:00"/>
    <n v="820000"/>
    <n v="-820000"/>
    <n v="0"/>
    <s v="COP"/>
    <s v="3009"/>
    <s v="CO51001"/>
    <m/>
    <n v="47567015"/>
    <s v="Almacén"/>
    <n v="41756150"/>
    <x v="0"/>
    <m/>
    <m/>
    <m/>
    <m/>
  </r>
  <r>
    <x v="210"/>
    <s v="0"/>
    <x v="173"/>
    <d v="2015-01-01T00:00:00"/>
    <n v="820000"/>
    <n v="-820000"/>
    <n v="0"/>
    <s v="COP"/>
    <s v="3009"/>
    <s v="CO51001"/>
    <m/>
    <n v="47567015"/>
    <s v="Almacén"/>
    <n v="41756150"/>
    <x v="0"/>
    <m/>
    <m/>
    <m/>
    <m/>
  </r>
  <r>
    <x v="211"/>
    <s v="0"/>
    <x v="174"/>
    <d v="2015-01-01T00:00:00"/>
    <n v="834760"/>
    <n v="-834760"/>
    <n v="0"/>
    <s v="COP"/>
    <s v="3009"/>
    <s v="CO51001"/>
    <m/>
    <n v="47567015"/>
    <s v="Almacén"/>
    <n v="41756150"/>
    <x v="0"/>
    <m/>
    <m/>
    <m/>
    <m/>
  </r>
  <r>
    <x v="212"/>
    <s v="0"/>
    <x v="175"/>
    <d v="2015-01-01T00:00:00"/>
    <n v="876000"/>
    <n v="-876000"/>
    <n v="0"/>
    <s v="COP"/>
    <s v="3009"/>
    <s v="CO51001"/>
    <m/>
    <n v="47502031"/>
    <s v="Compras"/>
    <n v="41750150"/>
    <x v="5"/>
    <m/>
    <m/>
    <m/>
    <m/>
  </r>
  <r>
    <x v="213"/>
    <s v="0"/>
    <x v="176"/>
    <d v="2015-01-01T00:00:00"/>
    <n v="900000"/>
    <n v="-900000"/>
    <n v="0"/>
    <s v="COP"/>
    <s v="3009"/>
    <s v="CO51001"/>
    <m/>
    <n v="47567015"/>
    <s v="Almacén"/>
    <n v="41756150"/>
    <x v="0"/>
    <m/>
    <m/>
    <m/>
    <m/>
  </r>
  <r>
    <x v="214"/>
    <s v="0"/>
    <x v="177"/>
    <d v="2015-01-01T00:00:00"/>
    <n v="1000000"/>
    <n v="-1000000"/>
    <n v="0"/>
    <s v="COP"/>
    <s v="3009"/>
    <s v="CO41001"/>
    <m/>
    <n v="47544032"/>
    <s v="Laboratório Aceite, Encapasuldo y Seco &gt;300 kVA"/>
    <n v="41754150"/>
    <x v="3"/>
    <m/>
    <m/>
    <m/>
    <m/>
  </r>
  <r>
    <x v="215"/>
    <s v="0"/>
    <x v="64"/>
    <d v="2015-01-01T00:00:00"/>
    <n v="1080000"/>
    <n v="-1080000"/>
    <n v="0"/>
    <s v="COP"/>
    <s v="3009"/>
    <s v="CO41001"/>
    <m/>
    <n v="47544032"/>
    <s v="Laboratório Aceite, Encapasuldo y Seco &gt;300 kVA"/>
    <n v="41754150"/>
    <x v="3"/>
    <m/>
    <m/>
    <m/>
    <m/>
  </r>
  <r>
    <x v="216"/>
    <s v="0"/>
    <x v="178"/>
    <d v="2015-01-01T00:00:00"/>
    <n v="1226400"/>
    <n v="-1226400"/>
    <n v="0"/>
    <s v="COP"/>
    <s v="3009"/>
    <s v="CO51001"/>
    <m/>
    <n v="47502031"/>
    <s v="Compras"/>
    <n v="41750150"/>
    <x v="5"/>
    <m/>
    <m/>
    <m/>
    <m/>
  </r>
  <r>
    <x v="217"/>
    <s v="0"/>
    <x v="179"/>
    <d v="2015-01-01T00:00:00"/>
    <n v="1260000"/>
    <n v="-1260000"/>
    <n v="0"/>
    <s v="COP"/>
    <s v="3009"/>
    <s v="CO51001"/>
    <m/>
    <n v="47567015"/>
    <s v="Almacén"/>
    <n v="41756150"/>
    <x v="0"/>
    <m/>
    <m/>
    <m/>
    <m/>
  </r>
  <r>
    <x v="218"/>
    <s v="0"/>
    <x v="179"/>
    <d v="2015-01-01T00:00:00"/>
    <n v="1260000"/>
    <n v="-1260000"/>
    <n v="0"/>
    <s v="COP"/>
    <s v="3009"/>
    <s v="CO51001"/>
    <m/>
    <n v="47567015"/>
    <s v="Almacén"/>
    <n v="41756150"/>
    <x v="0"/>
    <m/>
    <m/>
    <m/>
    <m/>
  </r>
  <r>
    <x v="219"/>
    <s v="0"/>
    <x v="179"/>
    <d v="2015-01-01T00:00:00"/>
    <n v="1260000"/>
    <n v="-1260000"/>
    <n v="0"/>
    <s v="COP"/>
    <s v="3009"/>
    <s v="CO51001"/>
    <m/>
    <n v="47567015"/>
    <s v="Almacén"/>
    <n v="41756150"/>
    <x v="0"/>
    <m/>
    <m/>
    <m/>
    <m/>
  </r>
  <r>
    <x v="220"/>
    <s v="0"/>
    <x v="180"/>
    <d v="2015-01-01T00:00:00"/>
    <n v="1260000"/>
    <n v="-1260000"/>
    <n v="0"/>
    <s v="COP"/>
    <s v="3009"/>
    <s v="CO51001"/>
    <m/>
    <n v="47567015"/>
    <s v="Almacén"/>
    <n v="41756150"/>
    <x v="0"/>
    <m/>
    <m/>
    <m/>
    <m/>
  </r>
  <r>
    <x v="221"/>
    <s v="0"/>
    <x v="181"/>
    <d v="2015-01-01T00:00:00"/>
    <n v="1330000"/>
    <n v="-1330000"/>
    <n v="0"/>
    <s v="COP"/>
    <s v="3009"/>
    <s v="CO51001"/>
    <m/>
    <n v="47567015"/>
    <s v="Almacén"/>
    <n v="41756150"/>
    <x v="0"/>
    <m/>
    <m/>
    <m/>
    <m/>
  </r>
  <r>
    <x v="222"/>
    <s v="0"/>
    <x v="182"/>
    <d v="2015-01-01T00:00:00"/>
    <n v="1500000"/>
    <n v="-1500000"/>
    <n v="0"/>
    <s v="COP"/>
    <s v="3009"/>
    <s v="CO41001"/>
    <m/>
    <n v="47544032"/>
    <s v="Laboratório Aceite, Encapasuldo y Seco &gt;300 kVA"/>
    <n v="41754150"/>
    <x v="3"/>
    <m/>
    <m/>
    <m/>
    <m/>
  </r>
  <r>
    <x v="223"/>
    <s v="0"/>
    <x v="183"/>
    <d v="2015-01-01T00:00:00"/>
    <n v="1500000"/>
    <n v="-1500000"/>
    <n v="0"/>
    <s v="COP"/>
    <s v="3009"/>
    <s v="CO41001"/>
    <m/>
    <n v="47544032"/>
    <s v="Laboratório Aceite, Encapasuldo y Seco &gt;300 kVA"/>
    <n v="41754150"/>
    <x v="3"/>
    <m/>
    <m/>
    <m/>
    <m/>
  </r>
  <r>
    <x v="224"/>
    <s v="0"/>
    <x v="184"/>
    <d v="2015-01-01T00:00:00"/>
    <n v="1500000"/>
    <n v="-1500000"/>
    <n v="0"/>
    <s v="COP"/>
    <s v="3009"/>
    <s v="CO41001"/>
    <m/>
    <n v="47544032"/>
    <s v="Laboratório Aceite, Encapasuldo y Seco &gt;300 kVA"/>
    <n v="41754150"/>
    <x v="3"/>
    <m/>
    <m/>
    <m/>
    <m/>
  </r>
  <r>
    <x v="225"/>
    <s v="0"/>
    <x v="185"/>
    <d v="2015-01-01T00:00:00"/>
    <n v="1500000"/>
    <n v="-1500000"/>
    <n v="0"/>
    <s v="COP"/>
    <s v="3009"/>
    <s v="CO41001"/>
    <m/>
    <n v="47544032"/>
    <s v="Laboratório Aceite, Encapasuldo y Seco &gt;300 kVA"/>
    <n v="41754150"/>
    <x v="3"/>
    <m/>
    <m/>
    <m/>
    <m/>
  </r>
  <r>
    <x v="226"/>
    <s v="0"/>
    <x v="0"/>
    <d v="2015-01-01T00:00:00"/>
    <n v="1584000"/>
    <n v="-1584000"/>
    <n v="0"/>
    <s v="COP"/>
    <s v="3009"/>
    <s v="CO52001"/>
    <m/>
    <n v="47567015"/>
    <s v="Almacén"/>
    <n v="41756150"/>
    <x v="0"/>
    <m/>
    <m/>
    <m/>
    <m/>
  </r>
  <r>
    <x v="227"/>
    <s v="0"/>
    <x v="0"/>
    <d v="2015-01-01T00:00:00"/>
    <n v="1584000"/>
    <n v="-1584000"/>
    <n v="0"/>
    <s v="COP"/>
    <s v="3009"/>
    <s v="CO52001"/>
    <m/>
    <n v="47567015"/>
    <s v="Almacén"/>
    <n v="41756150"/>
    <x v="0"/>
    <m/>
    <m/>
    <m/>
    <m/>
  </r>
  <r>
    <x v="228"/>
    <s v="0"/>
    <x v="0"/>
    <d v="2019-08-01T00:00:00"/>
    <n v="1584000"/>
    <n v="-1584000"/>
    <n v="0"/>
    <s v="COP"/>
    <s v="3009"/>
    <s v="CO52001"/>
    <m/>
    <n v="47567015"/>
    <s v="Almacén"/>
    <n v="41756150"/>
    <x v="0"/>
    <m/>
    <m/>
    <m/>
    <m/>
  </r>
  <r>
    <x v="229"/>
    <s v="0"/>
    <x v="186"/>
    <d v="2015-01-01T00:00:00"/>
    <n v="1700000"/>
    <n v="-1700000"/>
    <n v="0"/>
    <s v="COP"/>
    <s v="3009"/>
    <s v="CO41001"/>
    <m/>
    <n v="47544032"/>
    <s v="Laboratório Aceite, Encapasuldo y Seco &gt;300 kVA"/>
    <n v="41754150"/>
    <x v="3"/>
    <m/>
    <m/>
    <m/>
    <m/>
  </r>
  <r>
    <x v="230"/>
    <s v="0"/>
    <x v="187"/>
    <d v="2015-01-01T00:00:00"/>
    <n v="1700000"/>
    <n v="-1700000"/>
    <n v="0"/>
    <s v="COP"/>
    <s v="3009"/>
    <s v="CO41001"/>
    <m/>
    <n v="47544032"/>
    <s v="Laboratório Aceite, Encapasuldo y Seco &gt;300 kVA"/>
    <n v="41754150"/>
    <x v="3"/>
    <m/>
    <m/>
    <m/>
    <m/>
  </r>
  <r>
    <x v="231"/>
    <s v="0"/>
    <x v="188"/>
    <d v="2015-01-01T00:00:00"/>
    <n v="1700000"/>
    <n v="-1700000"/>
    <n v="0"/>
    <s v="COP"/>
    <s v="3009"/>
    <s v="CO41001"/>
    <m/>
    <n v="47544032"/>
    <s v="Laboratório Aceite, Encapasuldo y Seco &gt;300 kVA"/>
    <n v="41754150"/>
    <x v="3"/>
    <m/>
    <m/>
    <m/>
    <m/>
  </r>
  <r>
    <x v="232"/>
    <s v="0"/>
    <x v="189"/>
    <d v="2015-01-01T00:00:00"/>
    <n v="1700000"/>
    <n v="-1700000"/>
    <n v="0"/>
    <s v="COP"/>
    <s v="3009"/>
    <s v="CO51001"/>
    <m/>
    <n v="47567015"/>
    <s v="Almacén"/>
    <n v="41756150"/>
    <x v="0"/>
    <m/>
    <m/>
    <m/>
    <m/>
  </r>
  <r>
    <x v="233"/>
    <s v="0"/>
    <x v="190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4"/>
    <s v="0"/>
    <x v="191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5"/>
    <s v="0"/>
    <x v="192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6"/>
    <s v="0"/>
    <x v="193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7"/>
    <s v="0"/>
    <x v="194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8"/>
    <s v="0"/>
    <x v="195"/>
    <d v="2015-01-01T00:00:00"/>
    <n v="2000000"/>
    <n v="-2000000"/>
    <n v="0"/>
    <s v="COP"/>
    <s v="3009"/>
    <s v="CO41001"/>
    <m/>
    <n v="47544032"/>
    <s v="Laboratório Aceite, Encapasuldo y Seco &gt;300 kVA"/>
    <n v="41754150"/>
    <x v="3"/>
    <m/>
    <m/>
    <m/>
    <m/>
  </r>
  <r>
    <x v="239"/>
    <s v="0"/>
    <x v="196"/>
    <d v="2015-01-01T00:00:00"/>
    <n v="2191200"/>
    <n v="-2191200"/>
    <n v="0"/>
    <s v="COP"/>
    <s v="3009"/>
    <s v="CO51001"/>
    <m/>
    <n v="47502031"/>
    <s v="Compras"/>
    <n v="41750150"/>
    <x v="5"/>
    <m/>
    <m/>
    <m/>
    <m/>
  </r>
  <r>
    <x v="240"/>
    <s v="0"/>
    <x v="197"/>
    <d v="2015-01-01T00:00:00"/>
    <n v="2500000"/>
    <n v="-2500000"/>
    <n v="0"/>
    <s v="COP"/>
    <s v="3009"/>
    <s v="CO41001"/>
    <m/>
    <n v="47544032"/>
    <s v="Laboratório Aceite, Encapasuldo y Seco &gt;300 kVA"/>
    <n v="41754150"/>
    <x v="3"/>
    <m/>
    <m/>
    <m/>
    <m/>
  </r>
  <r>
    <x v="241"/>
    <s v="0"/>
    <x v="198"/>
    <d v="2015-01-01T00:00:00"/>
    <n v="2349000"/>
    <n v="-2349000"/>
    <n v="0"/>
    <s v="COP"/>
    <s v="3009"/>
    <s v="CO51001"/>
    <m/>
    <n v="47567015"/>
    <s v="Almacén"/>
    <n v="41756150"/>
    <x v="0"/>
    <m/>
    <m/>
    <m/>
    <m/>
  </r>
  <r>
    <x v="242"/>
    <s v="0"/>
    <x v="199"/>
    <d v="2015-01-01T00:00:00"/>
    <n v="58241"/>
    <n v="-58241"/>
    <n v="0"/>
    <s v="COP"/>
    <s v="3009"/>
    <s v="CO41001"/>
    <m/>
    <n v="47544015"/>
    <s v="Corte Silicio"/>
    <n v="41754150"/>
    <x v="15"/>
    <m/>
    <m/>
    <m/>
    <s v="Dar de baja"/>
  </r>
  <r>
    <x v="243"/>
    <s v="0"/>
    <x v="200"/>
    <d v="2015-01-01T00:00:00"/>
    <n v="3000000"/>
    <n v="-3000000"/>
    <n v="0"/>
    <s v="COP"/>
    <s v="3009"/>
    <s v="CO42001"/>
    <m/>
    <n v="47544011"/>
    <s v="Preparación e Pintura Soldadura"/>
    <n v="41754150"/>
    <x v="3"/>
    <m/>
    <m/>
    <m/>
    <m/>
  </r>
  <r>
    <x v="244"/>
    <s v="0"/>
    <x v="201"/>
    <d v="2015-01-01T00:00:00"/>
    <n v="3000000"/>
    <n v="-2839544"/>
    <n v="160456"/>
    <s v="COP"/>
    <s v="3009"/>
    <s v="CO41001"/>
    <m/>
    <n v="47544032"/>
    <s v="Laboratório Aceite, Encapasuldo y Seco &gt;300 kVA"/>
    <n v="41754150"/>
    <x v="3"/>
    <m/>
    <m/>
    <m/>
    <m/>
  </r>
  <r>
    <x v="245"/>
    <s v="0"/>
    <x v="202"/>
    <d v="2015-01-01T00:00:00"/>
    <n v="87362"/>
    <n v="-87362"/>
    <n v="0"/>
    <s v="COP"/>
    <s v="3009"/>
    <s v="CO41001"/>
    <m/>
    <n v="47544025"/>
    <s v="Encubado"/>
    <n v="41754150"/>
    <x v="15"/>
    <m/>
    <m/>
    <m/>
    <m/>
  </r>
  <r>
    <x v="246"/>
    <s v="0"/>
    <x v="203"/>
    <d v="2015-01-01T00:00:00"/>
    <n v="3029740"/>
    <n v="-3029740"/>
    <n v="0"/>
    <s v="COP"/>
    <s v="3009"/>
    <s v="CO41001"/>
    <m/>
    <n v="47567015"/>
    <s v="Almacén"/>
    <n v="41756150"/>
    <x v="0"/>
    <m/>
    <m/>
    <m/>
    <m/>
  </r>
  <r>
    <x v="247"/>
    <s v="0"/>
    <x v="204"/>
    <d v="2015-01-01T00:00:00"/>
    <n v="3200000"/>
    <n v="-3200000"/>
    <n v="0"/>
    <s v="COP"/>
    <s v="3009"/>
    <s v="CO42001"/>
    <m/>
    <n v="47567015"/>
    <s v="Almacén"/>
    <n v="41756150"/>
    <x v="0"/>
    <m/>
    <m/>
    <m/>
    <m/>
  </r>
  <r>
    <x v="248"/>
    <s v="0"/>
    <x v="205"/>
    <d v="2015-01-01T00:00:00"/>
    <n v="3400000"/>
    <n v="-3400000"/>
    <n v="0"/>
    <s v="COP"/>
    <s v="3009"/>
    <s v="CO42001"/>
    <m/>
    <n v="47544018"/>
    <s v="Devanados Encapsulados"/>
    <n v="41754150"/>
    <x v="9"/>
    <m/>
    <m/>
    <m/>
    <s v="Dar de baja"/>
  </r>
  <r>
    <x v="249"/>
    <s v="0"/>
    <x v="206"/>
    <d v="2015-01-01T00:00:00"/>
    <n v="3500000"/>
    <n v="-3500000"/>
    <n v="0"/>
    <s v="COP"/>
    <s v="3009"/>
    <s v="CO41001"/>
    <m/>
    <n v="47544015"/>
    <s v="Corte Silicio"/>
    <n v="41754150"/>
    <x v="8"/>
    <m/>
    <m/>
    <m/>
    <m/>
  </r>
  <r>
    <x v="250"/>
    <s v="0"/>
    <x v="207"/>
    <d v="2015-01-01T00:00:00"/>
    <n v="3520000"/>
    <n v="-3520000"/>
    <n v="0"/>
    <s v="COP"/>
    <s v="3009"/>
    <s v="CO51001"/>
    <m/>
    <n v="47567015"/>
    <s v="Almacén"/>
    <n v="41756150"/>
    <x v="0"/>
    <m/>
    <m/>
    <m/>
    <m/>
  </r>
  <r>
    <x v="251"/>
    <s v="0"/>
    <x v="208"/>
    <d v="2015-01-01T00:00:00"/>
    <n v="4000000"/>
    <n v="-4000000"/>
    <n v="0"/>
    <s v="COP"/>
    <s v="3009"/>
    <s v="CO41001"/>
    <m/>
    <n v="47544032"/>
    <s v="Laboratório Aceite, Encapasuldo y Seco &gt;300 kVA"/>
    <n v="41754150"/>
    <x v="3"/>
    <m/>
    <m/>
    <m/>
    <m/>
  </r>
  <r>
    <x v="252"/>
    <s v="0"/>
    <x v="209"/>
    <d v="2015-01-01T00:00:00"/>
    <n v="4000000"/>
    <n v="-4000000"/>
    <n v="0"/>
    <s v="COP"/>
    <s v="3009"/>
    <s v="CO42001"/>
    <m/>
    <n v="47544011"/>
    <s v="Preparación e Pintura Soldadura"/>
    <n v="41754150"/>
    <x v="3"/>
    <m/>
    <m/>
    <m/>
    <m/>
  </r>
  <r>
    <x v="253"/>
    <s v="0"/>
    <x v="113"/>
    <d v="2015-01-01T00:00:00"/>
    <n v="3966080"/>
    <n v="-3966080"/>
    <n v="0"/>
    <s v="COP"/>
    <s v="3009"/>
    <s v="CO51001"/>
    <m/>
    <n v="47567015"/>
    <s v="Almacén"/>
    <n v="41756150"/>
    <x v="0"/>
    <m/>
    <m/>
    <m/>
    <m/>
  </r>
  <r>
    <x v="254"/>
    <s v="0"/>
    <x v="210"/>
    <d v="2015-01-01T00:00:00"/>
    <n v="4000000"/>
    <n v="-4000000"/>
    <n v="0"/>
    <s v="COP"/>
    <s v="3009"/>
    <s v="CO41001"/>
    <m/>
    <n v="47544032"/>
    <s v="Laboratório Aceite, Encapasuldo y Seco &gt;300 kVA"/>
    <n v="41754150"/>
    <x v="3"/>
    <m/>
    <m/>
    <m/>
    <m/>
  </r>
  <r>
    <x v="255"/>
    <s v="0"/>
    <x v="211"/>
    <d v="2015-01-01T00:00:00"/>
    <n v="4000000"/>
    <n v="-4000000"/>
    <n v="0"/>
    <s v="COP"/>
    <s v="3009"/>
    <s v="CO41001"/>
    <m/>
    <n v="47544032"/>
    <s v="Laboratório Aceite, Encapasuldo y Seco &gt;300 kVA"/>
    <n v="41754150"/>
    <x v="3"/>
    <m/>
    <m/>
    <m/>
    <m/>
  </r>
  <r>
    <x v="256"/>
    <s v="0"/>
    <x v="207"/>
    <d v="2015-01-01T00:00:00"/>
    <n v="4224000"/>
    <n v="-4224000"/>
    <n v="0"/>
    <s v="COP"/>
    <s v="3009"/>
    <s v="CO51001"/>
    <m/>
    <n v="47567015"/>
    <s v="Almacén"/>
    <n v="41756150"/>
    <x v="0"/>
    <m/>
    <m/>
    <m/>
    <m/>
  </r>
  <r>
    <x v="257"/>
    <s v="0"/>
    <x v="207"/>
    <d v="2015-01-01T00:00:00"/>
    <n v="4224000"/>
    <n v="-4224000"/>
    <n v="0"/>
    <s v="COP"/>
    <s v="3009"/>
    <s v="CO51001"/>
    <m/>
    <n v="47567015"/>
    <s v="Almacén"/>
    <n v="41756150"/>
    <x v="0"/>
    <m/>
    <m/>
    <m/>
    <m/>
  </r>
  <r>
    <x v="258"/>
    <s v="0"/>
    <x v="212"/>
    <d v="2015-01-01T00:00:00"/>
    <n v="4300000"/>
    <n v="-4300000"/>
    <n v="0"/>
    <s v="COP"/>
    <s v="3009"/>
    <s v="CO51001"/>
    <m/>
    <n v="47567015"/>
    <s v="Almacén"/>
    <n v="41756150"/>
    <x v="0"/>
    <m/>
    <m/>
    <m/>
    <m/>
  </r>
  <r>
    <x v="259"/>
    <s v="0"/>
    <x v="213"/>
    <d v="2015-01-01T00:00:00"/>
    <n v="4400000"/>
    <n v="-4200196"/>
    <n v="199804"/>
    <s v="COP"/>
    <s v="3009"/>
    <s v="CO41001"/>
    <m/>
    <n v="47544032"/>
    <s v="Laboratório Aceite, Encapasuldo y Seco &gt;300 kVA"/>
    <n v="41754150"/>
    <x v="3"/>
    <m/>
    <m/>
    <m/>
    <m/>
  </r>
  <r>
    <x v="260"/>
    <s v="0"/>
    <x v="214"/>
    <d v="2015-01-01T00:00:00"/>
    <n v="582414"/>
    <n v="-582414"/>
    <n v="0"/>
    <s v="COP"/>
    <s v="3009"/>
    <s v="CO41001"/>
    <m/>
    <n v="47544018"/>
    <s v="Devanados Encapsulados"/>
    <n v="41754150"/>
    <x v="7"/>
    <m/>
    <m/>
    <m/>
    <m/>
  </r>
  <r>
    <x v="261"/>
    <s v="0"/>
    <x v="215"/>
    <d v="2015-01-01T00:00:00"/>
    <n v="5000000"/>
    <n v="-5000000"/>
    <n v="0"/>
    <s v="COP"/>
    <s v="3009"/>
    <s v="CO41001"/>
    <m/>
    <n v="47544023"/>
    <s v="Esamble Seco y Distribuicíon Aceite &lt;=300 kVA"/>
    <n v="41754150"/>
    <x v="20"/>
    <m/>
    <m/>
    <m/>
    <m/>
  </r>
  <r>
    <x v="262"/>
    <s v="0"/>
    <x v="216"/>
    <d v="2015-01-01T00:00:00"/>
    <n v="5000000"/>
    <n v="-5000000"/>
    <n v="0"/>
    <s v="COP"/>
    <s v="3009"/>
    <s v="CO41001"/>
    <m/>
    <n v="47544021"/>
    <s v="Devanados Seco DT, MF y MDF"/>
    <n v="41754150"/>
    <x v="21"/>
    <m/>
    <m/>
    <m/>
    <m/>
  </r>
  <r>
    <x v="263"/>
    <s v="0"/>
    <x v="217"/>
    <d v="2015-01-01T00:00:00"/>
    <n v="87362"/>
    <n v="-87362"/>
    <n v="0"/>
    <s v="COP"/>
    <s v="3009"/>
    <s v="CO41001"/>
    <m/>
    <n v="47544025"/>
    <s v="Encubado"/>
    <n v="41754150"/>
    <x v="17"/>
    <m/>
    <m/>
    <m/>
    <m/>
  </r>
  <r>
    <x v="264"/>
    <s v="0"/>
    <x v="218"/>
    <d v="2015-01-01T00:00:00"/>
    <n v="5428800"/>
    <n v="-4642567"/>
    <n v="786233"/>
    <s v="COP"/>
    <s v="3009"/>
    <s v="CO42001"/>
    <m/>
    <n v="47544013"/>
    <s v="Esamble Tanques"/>
    <n v="41754150"/>
    <x v="13"/>
    <m/>
    <m/>
    <m/>
    <m/>
  </r>
  <r>
    <x v="265"/>
    <s v="0"/>
    <x v="219"/>
    <d v="2015-01-01T00:00:00"/>
    <n v="5428800"/>
    <n v="-4681881"/>
    <n v="746919"/>
    <s v="COP"/>
    <s v="3009"/>
    <s v="CO42001"/>
    <m/>
    <n v="47544013"/>
    <s v="Esamble Tanques"/>
    <n v="41754150"/>
    <x v="13"/>
    <m/>
    <m/>
    <m/>
    <m/>
  </r>
  <r>
    <x v="266"/>
    <s v="0"/>
    <x v="220"/>
    <d v="2015-01-01T00:00:00"/>
    <n v="5428800"/>
    <n v="-4681881"/>
    <n v="746919"/>
    <s v="COP"/>
    <s v="3009"/>
    <s v="CO42001"/>
    <m/>
    <n v="47544013"/>
    <s v="Esamble Tanques"/>
    <n v="41754150"/>
    <x v="13"/>
    <m/>
    <m/>
    <m/>
    <m/>
  </r>
  <r>
    <x v="267"/>
    <s v="0"/>
    <x v="221"/>
    <d v="2015-01-01T00:00:00"/>
    <n v="5984000"/>
    <n v="-5984000"/>
    <n v="0"/>
    <s v="COP"/>
    <s v="3009"/>
    <s v="CO51001"/>
    <m/>
    <n v="47567015"/>
    <s v="Almacén"/>
    <n v="41756150"/>
    <x v="0"/>
    <m/>
    <m/>
    <m/>
    <m/>
  </r>
  <r>
    <x v="268"/>
    <s v="0"/>
    <x v="222"/>
    <d v="2015-01-01T00:00:00"/>
    <n v="6000000"/>
    <n v="-6000000"/>
    <n v="0"/>
    <s v="COP"/>
    <s v="3009"/>
    <s v="CO42001"/>
    <m/>
    <n v="47544024"/>
    <s v="Ensamble Parte Activa &gt;300 KVA"/>
    <n v="41754150"/>
    <x v="1"/>
    <m/>
    <m/>
    <m/>
    <m/>
  </r>
  <r>
    <x v="269"/>
    <s v="0"/>
    <x v="223"/>
    <d v="2015-01-01T00:00:00"/>
    <n v="203845"/>
    <n v="-203845"/>
    <n v="0"/>
    <s v="COP"/>
    <s v="3009"/>
    <s v="CO41001"/>
    <m/>
    <n v="47544018"/>
    <s v="Devanados Encapsulados"/>
    <n v="41754150"/>
    <x v="7"/>
    <m/>
    <m/>
    <m/>
    <m/>
  </r>
  <r>
    <x v="270"/>
    <s v="0"/>
    <x v="224"/>
    <d v="2015-01-01T00:00:00"/>
    <n v="7000000"/>
    <n v="-6034492"/>
    <n v="965508"/>
    <s v="COP"/>
    <s v="3009"/>
    <s v="CO42001"/>
    <m/>
    <n v="47544013"/>
    <s v="Esamble Tanques"/>
    <n v="41754150"/>
    <x v="13"/>
    <m/>
    <m/>
    <m/>
    <m/>
  </r>
  <r>
    <x v="271"/>
    <s v="0"/>
    <x v="225"/>
    <d v="2015-01-01T00:00:00"/>
    <n v="8400000"/>
    <n v="-8400000"/>
    <n v="0"/>
    <s v="COP"/>
    <s v="3009"/>
    <s v="CO42001"/>
    <m/>
    <n v="47544032"/>
    <s v="Laboratório Aceite, Encapasuldo y Seco &gt;300 kVA"/>
    <n v="41754150"/>
    <x v="8"/>
    <m/>
    <m/>
    <m/>
    <m/>
  </r>
  <r>
    <x v="272"/>
    <s v="0"/>
    <x v="226"/>
    <d v="2015-01-01T00:00:00"/>
    <n v="10000000"/>
    <n v="-10000000"/>
    <n v="0"/>
    <s v="COP"/>
    <s v="3009"/>
    <s v="CO41001"/>
    <m/>
    <n v="47567064"/>
    <s v="Pruebas"/>
    <n v="41756150"/>
    <x v="3"/>
    <m/>
    <m/>
    <m/>
    <m/>
  </r>
  <r>
    <x v="273"/>
    <s v="0"/>
    <x v="227"/>
    <d v="2015-01-01T00:00:00"/>
    <n v="10560000"/>
    <n v="-10560000"/>
    <n v="0"/>
    <s v="COP"/>
    <s v="3009"/>
    <s v="CO51001"/>
    <m/>
    <n v="47567015"/>
    <s v="Almacén"/>
    <n v="41756150"/>
    <x v="0"/>
    <m/>
    <m/>
    <m/>
    <m/>
  </r>
  <r>
    <x v="274"/>
    <s v="0"/>
    <x v="228"/>
    <d v="2015-01-01T00:00:00"/>
    <n v="15000000"/>
    <n v="-15000000"/>
    <n v="0"/>
    <s v="COP"/>
    <s v="3009"/>
    <s v="CO41001"/>
    <m/>
    <n v="47544023"/>
    <s v="Esamble Seco y Distribuicíon Aceite &lt;=300 kVA"/>
    <n v="41754150"/>
    <x v="1"/>
    <m/>
    <m/>
    <m/>
    <m/>
  </r>
  <r>
    <x v="275"/>
    <s v="0"/>
    <x v="229"/>
    <d v="2015-01-01T00:00:00"/>
    <n v="436811"/>
    <n v="-436811"/>
    <n v="0"/>
    <s v="COP"/>
    <s v="3009"/>
    <s v="CO41001"/>
    <m/>
    <n v="47544032"/>
    <s v="Laboratório Aceite, Encapasuldo y Seco &gt;300 kVA"/>
    <n v="41754150"/>
    <x v="3"/>
    <m/>
    <m/>
    <m/>
    <m/>
  </r>
  <r>
    <x v="275"/>
    <s v="1"/>
    <x v="229"/>
    <d v="2021-12-16T00:00:00"/>
    <n v="12684951"/>
    <n v="-5546624"/>
    <n v="7138327"/>
    <s v="COP"/>
    <s v="3009"/>
    <s v="CO41001"/>
    <m/>
    <n v="47544032"/>
    <s v="Laboratório Aceite, Encapasuldo y Seco &gt;300 kVA"/>
    <n v="41754150"/>
    <x v="3"/>
    <m/>
    <m/>
    <m/>
    <m/>
  </r>
  <r>
    <x v="276"/>
    <s v="0"/>
    <x v="230"/>
    <d v="2015-01-01T00:00:00"/>
    <n v="15000000"/>
    <n v="-15000000"/>
    <n v="0"/>
    <s v="COP"/>
    <s v="3009"/>
    <s v="CO41001"/>
    <m/>
    <n v="47544015"/>
    <s v="Corte Silicio"/>
    <n v="41754150"/>
    <x v="6"/>
    <m/>
    <m/>
    <m/>
    <m/>
  </r>
  <r>
    <x v="277"/>
    <s v="0"/>
    <x v="231"/>
    <d v="2015-01-01T00:00:00"/>
    <n v="17000000"/>
    <n v="-17000000"/>
    <n v="0"/>
    <s v="COP"/>
    <s v="3009"/>
    <s v="CO41001"/>
    <m/>
    <n v="47544023"/>
    <s v="Esamble Seco y Distribuicíon Aceite &lt;=300 kVA"/>
    <n v="41754150"/>
    <x v="20"/>
    <m/>
    <m/>
    <m/>
    <m/>
  </r>
  <r>
    <x v="278"/>
    <s v="0"/>
    <x v="232"/>
    <d v="2015-01-01T00:00:00"/>
    <n v="17000000"/>
    <n v="-17000000"/>
    <n v="0"/>
    <s v="COP"/>
    <s v="3009"/>
    <s v="CO41001"/>
    <m/>
    <n v="47567102"/>
    <s v="Processos"/>
    <n v="41756150"/>
    <x v="6"/>
    <m/>
    <m/>
    <m/>
    <m/>
  </r>
  <r>
    <x v="278"/>
    <s v="1"/>
    <x v="233"/>
    <d v="2023-01-27T00:00:00"/>
    <n v="24100000"/>
    <n v="-7850658"/>
    <n v="16249342"/>
    <s v="COP"/>
    <s v="3009"/>
    <s v="CO41001"/>
    <m/>
    <n v="47544015"/>
    <s v="Corte Silicio"/>
    <n v="41754150"/>
    <x v="6"/>
    <m/>
    <m/>
    <m/>
    <m/>
  </r>
  <r>
    <x v="279"/>
    <s v="0"/>
    <x v="234"/>
    <d v="2015-01-01T00:00:00"/>
    <n v="17111600"/>
    <n v="-16345874"/>
    <n v="765726"/>
    <s v="COP"/>
    <s v="3009"/>
    <s v="CO41001"/>
    <m/>
    <n v="47544032"/>
    <s v="Laboratório Aceite, Encapasuldo y Seco &gt;300 kVA"/>
    <n v="41754150"/>
    <x v="3"/>
    <m/>
    <m/>
    <m/>
    <m/>
  </r>
  <r>
    <x v="280"/>
    <s v="0"/>
    <x v="235"/>
    <d v="2015-01-01T00:00:00"/>
    <n v="18324500"/>
    <n v="-17504498"/>
    <n v="820002"/>
    <s v="COP"/>
    <s v="3009"/>
    <s v="CO41001"/>
    <m/>
    <n v="47544032"/>
    <s v="Laboratório Aceite, Encapasuldo y Seco &gt;300 kVA"/>
    <n v="41754150"/>
    <x v="3"/>
    <m/>
    <m/>
    <m/>
    <m/>
  </r>
  <r>
    <x v="281"/>
    <s v="0"/>
    <x v="236"/>
    <d v="2015-01-01T00:00:00"/>
    <n v="49126379"/>
    <n v="-49126379"/>
    <n v="0"/>
    <s v="COP"/>
    <s v="3009"/>
    <s v="CO41001"/>
    <m/>
    <n v="47544021"/>
    <s v="Devanados Seco DT, MF y MDF"/>
    <n v="41754150"/>
    <x v="22"/>
    <m/>
    <m/>
    <m/>
    <m/>
  </r>
  <r>
    <x v="282"/>
    <s v="0"/>
    <x v="237"/>
    <d v="2015-01-01T00:00:00"/>
    <n v="25000000"/>
    <n v="-25000000"/>
    <n v="0"/>
    <s v="COP"/>
    <s v="3009"/>
    <s v="CO41001"/>
    <m/>
    <n v="47544021"/>
    <s v="Devanados Seco DT, MF y MDF"/>
    <n v="41754150"/>
    <x v="8"/>
    <m/>
    <m/>
    <m/>
    <m/>
  </r>
  <r>
    <x v="283"/>
    <s v="0"/>
    <x v="238"/>
    <d v="2015-01-01T00:00:00"/>
    <n v="26538159"/>
    <n v="-26538159"/>
    <n v="0"/>
    <s v="COP"/>
    <s v="3009"/>
    <s v="CO41001"/>
    <m/>
    <n v="47544025"/>
    <s v="Encubado"/>
    <n v="41754150"/>
    <x v="15"/>
    <m/>
    <m/>
    <m/>
    <m/>
  </r>
  <r>
    <x v="284"/>
    <s v="0"/>
    <x v="239"/>
    <d v="2015-01-01T00:00:00"/>
    <n v="30000000"/>
    <n v="-30000000"/>
    <n v="0"/>
    <s v="COP"/>
    <s v="3009"/>
    <s v="CO41001"/>
    <m/>
    <n v="47544021"/>
    <s v="Devanados Seco DT, MF y MDF"/>
    <n v="41754150"/>
    <x v="22"/>
    <m/>
    <m/>
    <m/>
    <m/>
  </r>
  <r>
    <x v="285"/>
    <s v="0"/>
    <x v="240"/>
    <d v="2015-01-01T00:00:00"/>
    <n v="30000000"/>
    <n v="-30000000"/>
    <n v="0"/>
    <s v="COP"/>
    <s v="3009"/>
    <s v="CO41001"/>
    <m/>
    <n v="47544032"/>
    <s v="Laboratório Aceite, Encapasuldo y Seco &gt;300 kVA"/>
    <n v="41754150"/>
    <x v="3"/>
    <m/>
    <m/>
    <m/>
    <m/>
  </r>
  <r>
    <x v="286"/>
    <s v="0"/>
    <x v="241"/>
    <d v="2015-01-01T00:00:00"/>
    <n v="873621"/>
    <n v="-873621"/>
    <n v="0"/>
    <s v="COP"/>
    <s v="3009"/>
    <s v="CO41001"/>
    <m/>
    <n v="47544025"/>
    <s v="Encubado"/>
    <n v="41754150"/>
    <x v="22"/>
    <m/>
    <m/>
    <m/>
    <m/>
  </r>
  <r>
    <x v="287"/>
    <s v="0"/>
    <x v="242"/>
    <d v="2015-01-01T00:00:00"/>
    <n v="873621"/>
    <n v="-873621"/>
    <n v="0"/>
    <s v="COP"/>
    <s v="3009"/>
    <s v="CO41001"/>
    <m/>
    <n v="47544026"/>
    <s v="Tratamiento Térmico"/>
    <n v="41754150"/>
    <x v="4"/>
    <m/>
    <m/>
    <m/>
    <m/>
  </r>
  <r>
    <x v="288"/>
    <s v="0"/>
    <x v="243"/>
    <d v="2015-01-01T00:00:00"/>
    <n v="35000000"/>
    <n v="-35000000"/>
    <n v="0"/>
    <s v="COP"/>
    <s v="3009"/>
    <s v="CO41001"/>
    <m/>
    <n v="47544021"/>
    <s v="Devanados Seco DT, MF y MDF"/>
    <n v="41754150"/>
    <x v="22"/>
    <m/>
    <m/>
    <m/>
    <m/>
  </r>
  <r>
    <x v="289"/>
    <s v="0"/>
    <x v="244"/>
    <d v="2015-01-01T00:00:00"/>
    <n v="44981439"/>
    <n v="-44981439"/>
    <n v="0"/>
    <s v="COP"/>
    <s v="3009"/>
    <s v="CO51001"/>
    <m/>
    <n v="47567015"/>
    <s v="Almacén"/>
    <n v="41756150"/>
    <x v="0"/>
    <m/>
    <m/>
    <m/>
    <m/>
  </r>
  <r>
    <x v="290"/>
    <s v="0"/>
    <x v="245"/>
    <d v="2015-01-01T00:00:00"/>
    <n v="52000000"/>
    <n v="-52000000"/>
    <n v="0"/>
    <s v="COP"/>
    <s v="3009"/>
    <s v="CO41001"/>
    <m/>
    <n v="47544023"/>
    <s v="Esamble Seco y Distribuicíon Aceite &lt;=300 kVA"/>
    <n v="41754150"/>
    <x v="15"/>
    <m/>
    <m/>
    <m/>
    <m/>
  </r>
  <r>
    <x v="291"/>
    <s v="0"/>
    <x v="246"/>
    <d v="2015-01-01T00:00:00"/>
    <n v="873621"/>
    <n v="-873621"/>
    <n v="0"/>
    <s v="COP"/>
    <s v="3009"/>
    <s v="CO41001"/>
    <m/>
    <n v="47544025"/>
    <s v="Encubado"/>
    <n v="41754150"/>
    <x v="15"/>
    <m/>
    <m/>
    <m/>
    <m/>
  </r>
  <r>
    <x v="292"/>
    <s v="0"/>
    <x v="247"/>
    <d v="2015-01-01T00:00:00"/>
    <n v="55000000"/>
    <n v="-55000000"/>
    <n v="0"/>
    <s v="COP"/>
    <s v="3009"/>
    <s v="CO41001"/>
    <m/>
    <n v="47544021"/>
    <s v="Devanados Seco DT, MF y MDF"/>
    <n v="41754150"/>
    <x v="22"/>
    <m/>
    <m/>
    <m/>
    <m/>
  </r>
  <r>
    <x v="293"/>
    <s v="0"/>
    <x v="248"/>
    <d v="2015-01-01T00:00:00"/>
    <n v="374132862"/>
    <n v="-374132862"/>
    <n v="0"/>
    <s v="COP"/>
    <s v="3009"/>
    <s v="CO41001"/>
    <m/>
    <n v="47544025"/>
    <s v="Encubado"/>
    <n v="41754150"/>
    <x v="4"/>
    <m/>
    <m/>
    <m/>
    <m/>
  </r>
  <r>
    <x v="294"/>
    <s v="0"/>
    <x v="249"/>
    <d v="2015-01-01T00:00:00"/>
    <n v="125000000"/>
    <n v="-125000000"/>
    <n v="0"/>
    <s v="COP"/>
    <s v="3009"/>
    <s v="CO41001"/>
    <m/>
    <n v="47544013"/>
    <s v="Esamble Tanques"/>
    <n v="41754150"/>
    <x v="2"/>
    <m/>
    <m/>
    <m/>
    <m/>
  </r>
  <r>
    <x v="295"/>
    <s v="0"/>
    <x v="250"/>
    <d v="2015-01-01T00:00:00"/>
    <n v="130000000"/>
    <n v="-130000000"/>
    <n v="0"/>
    <s v="COP"/>
    <s v="3009"/>
    <s v="CO41001"/>
    <m/>
    <n v="47544011"/>
    <s v="Preparación e Pintura Soldadura"/>
    <n v="41754150"/>
    <x v="2"/>
    <m/>
    <m/>
    <m/>
    <m/>
  </r>
  <r>
    <x v="296"/>
    <s v="0"/>
    <x v="251"/>
    <d v="2015-01-01T00:00:00"/>
    <n v="4076899"/>
    <n v="-4076899"/>
    <n v="0"/>
    <s v="COP"/>
    <s v="3009"/>
    <s v="CO41001"/>
    <m/>
    <n v="47544029"/>
    <s v="Tratamiento de Aceite"/>
    <n v="41754150"/>
    <x v="17"/>
    <m/>
    <m/>
    <m/>
    <m/>
  </r>
  <r>
    <x v="297"/>
    <s v="0"/>
    <x v="252"/>
    <d v="2021-02-17T00:00:00"/>
    <n v="58831000"/>
    <n v="-15296060"/>
    <n v="43534940"/>
    <s v="COP"/>
    <s v="3009"/>
    <s v="CO41001"/>
    <m/>
    <n v="47544019"/>
    <s v="Preparación de Aislamento"/>
    <n v="41754150"/>
    <x v="23"/>
    <m/>
    <m/>
    <m/>
    <m/>
  </r>
  <r>
    <x v="298"/>
    <s v="0"/>
    <x v="253"/>
    <d v="2020-12-11T00:00:00"/>
    <n v="52594673"/>
    <n v="-14163846"/>
    <n v="38430827"/>
    <s v="COP"/>
    <s v="3009"/>
    <s v="CO41001"/>
    <m/>
    <n v="47567064"/>
    <s v="Pruebas"/>
    <n v="41756150"/>
    <x v="3"/>
    <m/>
    <m/>
    <m/>
    <m/>
  </r>
  <r>
    <x v="299"/>
    <s v="0"/>
    <x v="254"/>
    <d v="2021-04-23T00:00:00"/>
    <n v="11878523"/>
    <n v="-2982647"/>
    <n v="8895876"/>
    <s v="COP"/>
    <s v="3009"/>
    <s v="CO41001"/>
    <m/>
    <n v="47544032"/>
    <s v="Laboratório Aceite, Encapasuldo y Seco &gt;300 kVA"/>
    <n v="41754150"/>
    <x v="3"/>
    <m/>
    <m/>
    <m/>
    <m/>
  </r>
  <r>
    <x v="300"/>
    <s v="0"/>
    <x v="255"/>
    <d v="2021-01-21T00:00:00"/>
    <n v="37472702"/>
    <n v="-9881500"/>
    <n v="27591202"/>
    <s v="COP"/>
    <s v="3009"/>
    <s v="CO41001"/>
    <m/>
    <n v="47544032"/>
    <s v="Laboratório Aceite, Encapasuldo y Seco &gt;300 kVA"/>
    <n v="41754150"/>
    <x v="3"/>
    <m/>
    <m/>
    <m/>
    <m/>
  </r>
  <r>
    <x v="301"/>
    <s v="0"/>
    <x v="256"/>
    <d v="2021-02-11T00:00:00"/>
    <n v="478560953"/>
    <n v="-124819187"/>
    <n v="353741766"/>
    <s v="COP"/>
    <s v="3009"/>
    <s v="CO41001"/>
    <m/>
    <n v="47544018"/>
    <s v="Devanados Encapsulados"/>
    <n v="41754150"/>
    <x v="7"/>
    <m/>
    <m/>
    <m/>
    <m/>
  </r>
  <r>
    <x v="302"/>
    <s v="0"/>
    <x v="257"/>
    <d v="2021-01-25T00:00:00"/>
    <n v="7100000"/>
    <n v="-1868370"/>
    <n v="5231630"/>
    <s v="COP"/>
    <s v="3009"/>
    <s v="CO41001"/>
    <m/>
    <n v="47544017"/>
    <s v="Preparación Encapsulados"/>
    <n v="41754150"/>
    <x v="0"/>
    <m/>
    <m/>
    <m/>
    <m/>
  </r>
  <r>
    <x v="303"/>
    <s v="0"/>
    <x v="258"/>
    <d v="2021-01-25T00:00:00"/>
    <n v="5500000"/>
    <n v="-1447329"/>
    <n v="4052671"/>
    <s v="COP"/>
    <s v="3009"/>
    <s v="CO41001"/>
    <m/>
    <n v="47544017"/>
    <s v="Preparación Encapsulados"/>
    <n v="41754150"/>
    <x v="0"/>
    <m/>
    <m/>
    <m/>
    <m/>
  </r>
  <r>
    <x v="304"/>
    <s v="0"/>
    <x v="259"/>
    <d v="2021-03-05T00:00:00"/>
    <n v="7586488"/>
    <n v="-3911719"/>
    <n v="3674769"/>
    <s v="COP"/>
    <s v="3009"/>
    <s v="CO42001"/>
    <m/>
    <n v="47544013"/>
    <s v="Esamble Tanques"/>
    <n v="41754150"/>
    <x v="2"/>
    <m/>
    <m/>
    <m/>
    <m/>
  </r>
  <r>
    <x v="305"/>
    <s v="0"/>
    <x v="260"/>
    <d v="2021-05-13T00:00:00"/>
    <n v="1516770810"/>
    <n v="-376097576"/>
    <n v="1140673234"/>
    <s v="COP"/>
    <s v="3009"/>
    <s v="CO41001"/>
    <m/>
    <n v="47544018"/>
    <s v="Devanados Encapsulados"/>
    <n v="41754150"/>
    <x v="7"/>
    <m/>
    <m/>
    <m/>
    <m/>
  </r>
  <r>
    <x v="305"/>
    <s v="1"/>
    <x v="261"/>
    <d v="2022-11-30T00:00:00"/>
    <n v="20577718"/>
    <n v="-3515126"/>
    <n v="17062592"/>
    <s v="COP"/>
    <s v="3009"/>
    <s v="CO41001"/>
    <m/>
    <n v="47544018"/>
    <s v="Devanados Encapsulados"/>
    <n v="41754150"/>
    <x v="7"/>
    <m/>
    <m/>
    <m/>
    <m/>
  </r>
  <r>
    <x v="306"/>
    <s v="0"/>
    <x v="262"/>
    <d v="2021-11-30T00:00:00"/>
    <n v="11000000"/>
    <n v="-2429041"/>
    <n v="8570959"/>
    <s v="COP"/>
    <s v="3009"/>
    <s v="CO41001"/>
    <m/>
    <n v="47544017"/>
    <s v="Preparación Encapsulados"/>
    <n v="41754150"/>
    <x v="24"/>
    <m/>
    <m/>
    <m/>
    <m/>
  </r>
  <r>
    <x v="307"/>
    <s v="0"/>
    <x v="263"/>
    <d v="2021-11-30T00:00:00"/>
    <n v="8800000"/>
    <n v="-1943233"/>
    <n v="6856767"/>
    <s v="COP"/>
    <s v="3009"/>
    <s v="CO41001"/>
    <m/>
    <n v="47544017"/>
    <s v="Preparación Encapsulados"/>
    <n v="41754150"/>
    <x v="0"/>
    <m/>
    <m/>
    <m/>
    <m/>
  </r>
  <r>
    <x v="308"/>
    <s v="0"/>
    <x v="264"/>
    <d v="2021-11-30T00:00:00"/>
    <n v="10000000"/>
    <n v="-2208220"/>
    <n v="7791780"/>
    <s v="COP"/>
    <s v="3009"/>
    <s v="CO41001"/>
    <m/>
    <n v="47544017"/>
    <s v="Preparación Encapsulados"/>
    <n v="41754150"/>
    <x v="0"/>
    <m/>
    <m/>
    <m/>
    <m/>
  </r>
  <r>
    <x v="309"/>
    <s v="0"/>
    <x v="265"/>
    <d v="2021-05-18T00:00:00"/>
    <n v="5372382"/>
    <n v="-5322337"/>
    <n v="50045"/>
    <s v="COP"/>
    <s v="3009"/>
    <s v="CO52001"/>
    <m/>
    <n v="47500051"/>
    <s v="TI"/>
    <n v="41750150"/>
    <x v="5"/>
    <m/>
    <m/>
    <m/>
    <m/>
  </r>
  <r>
    <x v="310"/>
    <s v="0"/>
    <x v="266"/>
    <d v="2021-05-18T00:00:00"/>
    <n v="5372382"/>
    <n v="-5322337"/>
    <n v="50045"/>
    <s v="COP"/>
    <s v="3009"/>
    <s v="CO52001"/>
    <m/>
    <n v="47567041"/>
    <s v="Planificación de la Producción y Control"/>
    <n v="41756150"/>
    <x v="25"/>
    <m/>
    <m/>
    <m/>
    <m/>
  </r>
  <r>
    <x v="311"/>
    <s v="0"/>
    <x v="267"/>
    <d v="2021-05-18T00:00:00"/>
    <n v="4506964"/>
    <n v="-4464982"/>
    <n v="41982"/>
    <s v="COP"/>
    <s v="3009"/>
    <s v="CO52001"/>
    <m/>
    <n v="47567062"/>
    <s v="Diseno Transformadores Especiales y Potencia"/>
    <n v="41756150"/>
    <x v="26"/>
    <m/>
    <m/>
    <m/>
    <m/>
  </r>
  <r>
    <x v="312"/>
    <s v="0"/>
    <x v="268"/>
    <d v="2021-05-18T00:00:00"/>
    <n v="5735614"/>
    <n v="-5682187"/>
    <n v="53427"/>
    <s v="COP"/>
    <s v="3009"/>
    <s v="CO52001"/>
    <m/>
    <n v="47567063"/>
    <s v="Diseno Mecanico"/>
    <n v="41756150"/>
    <x v="26"/>
    <m/>
    <m/>
    <m/>
    <m/>
  </r>
  <r>
    <x v="313"/>
    <s v="0"/>
    <x v="269"/>
    <d v="2021-05-18T00:00:00"/>
    <n v="7400009"/>
    <n v="-7331078"/>
    <n v="68931"/>
    <s v="COP"/>
    <s v="3009"/>
    <s v="CO52001"/>
    <m/>
    <n v="47567063"/>
    <s v="Diseno Mecanico"/>
    <n v="41756150"/>
    <x v="26"/>
    <m/>
    <m/>
    <m/>
    <m/>
  </r>
  <r>
    <x v="314"/>
    <s v="0"/>
    <x v="270"/>
    <d v="2021-07-29T00:00:00"/>
    <n v="14850070"/>
    <n v="-14125875"/>
    <n v="724195"/>
    <s v="COP"/>
    <s v="3009"/>
    <s v="CO46001"/>
    <m/>
    <n v="47500021"/>
    <s v="Recursos Humanos "/>
    <n v="41750150"/>
    <x v="5"/>
    <m/>
    <m/>
    <m/>
    <m/>
  </r>
  <r>
    <x v="315"/>
    <s v="0"/>
    <x v="271"/>
    <d v="2021-05-20T00:00:00"/>
    <n v="12858985"/>
    <n v="-12858985"/>
    <n v="0"/>
    <s v="COP"/>
    <s v="3009"/>
    <s v="CO53001"/>
    <m/>
    <n v="47567041"/>
    <s v="Planificación de la Producción y Control"/>
    <n v="41756150"/>
    <x v="25"/>
    <m/>
    <m/>
    <m/>
    <m/>
  </r>
  <r>
    <x v="316"/>
    <s v="0"/>
    <x v="272"/>
    <d v="2021-07-27T00:00:00"/>
    <n v="7729731"/>
    <n v="-7361244"/>
    <n v="368487"/>
    <s v="COP"/>
    <s v="3009"/>
    <s v="CO52001"/>
    <m/>
    <n v="47500000"/>
    <s v="GER. GENERAL WCO-WTD"/>
    <n v="41750150"/>
    <x v="5"/>
    <m/>
    <m/>
    <m/>
    <m/>
  </r>
  <r>
    <x v="317"/>
    <s v="0"/>
    <x v="273"/>
    <d v="2021-07-30T00:00:00"/>
    <n v="2713200"/>
    <n v="-1289699"/>
    <n v="1423501"/>
    <s v="COP"/>
    <s v="3009"/>
    <s v="CO51001"/>
    <m/>
    <n v="47544010"/>
    <s v="GER. PRODUCCIÓN"/>
    <n v="41754150"/>
    <x v="5"/>
    <m/>
    <m/>
    <m/>
    <m/>
  </r>
  <r>
    <x v="318"/>
    <s v="0"/>
    <x v="274"/>
    <d v="2021-07-30T00:00:00"/>
    <n v="2389000"/>
    <n v="-1135593"/>
    <n v="1253407"/>
    <s v="COP"/>
    <s v="3009"/>
    <s v="CO51001"/>
    <m/>
    <n v="47544010"/>
    <s v="GER. PRODUCCIÓN"/>
    <n v="41754150"/>
    <x v="5"/>
    <m/>
    <m/>
    <m/>
    <m/>
  </r>
  <r>
    <x v="319"/>
    <s v="0"/>
    <x v="275"/>
    <d v="2021-08-19T00:00:00"/>
    <n v="3909609"/>
    <n v="-3673962"/>
    <n v="235647"/>
    <s v="COP"/>
    <s v="3009"/>
    <s v="CO52001"/>
    <m/>
    <n v="47500021"/>
    <s v="Recursos Humanos "/>
    <n v="41750150"/>
    <x v="5"/>
    <m/>
    <m/>
    <m/>
    <m/>
  </r>
  <r>
    <x v="320"/>
    <s v="0"/>
    <x v="275"/>
    <d v="2021-08-19T00:00:00"/>
    <n v="3909609"/>
    <n v="-3673962"/>
    <n v="235647"/>
    <s v="COP"/>
    <s v="3009"/>
    <s v="CO52001"/>
    <m/>
    <n v="47567064"/>
    <s v="Pruebas"/>
    <n v="41756150"/>
    <x v="5"/>
    <m/>
    <m/>
    <m/>
    <m/>
  </r>
  <r>
    <x v="321"/>
    <s v="0"/>
    <x v="276"/>
    <d v="2021-09-07T00:00:00"/>
    <n v="4120000"/>
    <n v="-3828778"/>
    <n v="291222"/>
    <s v="COP"/>
    <s v="3009"/>
    <s v="CO52001"/>
    <m/>
    <n v="47544010"/>
    <s v="GER. PRODUCCIÓN"/>
    <n v="41754150"/>
    <x v="5"/>
    <m/>
    <m/>
    <m/>
    <m/>
  </r>
  <r>
    <x v="322"/>
    <s v="0"/>
    <x v="277"/>
    <d v="2021-10-12T00:00:00"/>
    <n v="10158700"/>
    <n v="-2311452"/>
    <n v="7847248"/>
    <s v="COP"/>
    <s v="3009"/>
    <s v="CO41001"/>
    <m/>
    <n v="47544025"/>
    <s v="Encubado"/>
    <n v="41754150"/>
    <x v="4"/>
    <m/>
    <m/>
    <m/>
    <m/>
  </r>
  <r>
    <x v="323"/>
    <s v="0"/>
    <x v="278"/>
    <d v="2021-09-17T00:00:00"/>
    <n v="1528174"/>
    <n v="-1411783"/>
    <n v="116391"/>
    <s v="COP"/>
    <s v="3009"/>
    <s v="CO52002"/>
    <m/>
    <n v="47500000"/>
    <s v="GER. GENERAL WCO-WTD"/>
    <n v="41750150"/>
    <x v="5"/>
    <m/>
    <m/>
    <m/>
    <s v="No se etiqueta"/>
  </r>
  <r>
    <x v="323"/>
    <s v="1"/>
    <x v="279"/>
    <d v="2021-09-17T00:00:00"/>
    <n v="1528174"/>
    <n v="-1411783"/>
    <n v="116391"/>
    <s v="COP"/>
    <s v="3009"/>
    <s v="CO52002"/>
    <m/>
    <n v="47502021"/>
    <s v="Servicio Médico, Seguridad y Higiene"/>
    <n v="41750150"/>
    <x v="5"/>
    <m/>
    <m/>
    <m/>
    <s v="No se etiqueta"/>
  </r>
  <r>
    <x v="323"/>
    <s v="2"/>
    <x v="279"/>
    <d v="2021-09-17T00:00:00"/>
    <n v="1528174"/>
    <n v="-1411783"/>
    <n v="116391"/>
    <s v="COP"/>
    <s v="3009"/>
    <s v="CO52002"/>
    <m/>
    <n v="47502031"/>
    <s v="Compras"/>
    <n v="41750150"/>
    <x v="5"/>
    <m/>
    <m/>
    <m/>
    <s v="No se etiqueta"/>
  </r>
  <r>
    <x v="323"/>
    <s v="3"/>
    <x v="279"/>
    <d v="2021-09-17T00:00:00"/>
    <n v="1528174"/>
    <n v="-1411783"/>
    <n v="116391"/>
    <s v="COP"/>
    <s v="3009"/>
    <s v="CO52002"/>
    <m/>
    <n v="47500051"/>
    <s v="TI"/>
    <n v="41750150"/>
    <x v="5"/>
    <m/>
    <m/>
    <m/>
    <s v="No se etiqueta"/>
  </r>
  <r>
    <x v="323"/>
    <s v="4"/>
    <x v="279"/>
    <d v="2021-09-17T00:00:00"/>
    <n v="1528174"/>
    <n v="-1411783"/>
    <n v="116391"/>
    <s v="COP"/>
    <s v="3009"/>
    <s v="CO52002"/>
    <m/>
    <n v="47500021"/>
    <s v="Recursos Humanos "/>
    <n v="41750150"/>
    <x v="5"/>
    <m/>
    <m/>
    <m/>
    <s v="No se etiqueta"/>
  </r>
  <r>
    <x v="323"/>
    <s v="5"/>
    <x v="279"/>
    <d v="2021-09-22T00:00:00"/>
    <n v="1528174"/>
    <n v="-1407596"/>
    <n v="120578"/>
    <s v="COP"/>
    <s v="3009"/>
    <s v="CO52002"/>
    <m/>
    <n v="47500041"/>
    <s v="Contabilidad y Costos"/>
    <n v="41750150"/>
    <x v="5"/>
    <m/>
    <m/>
    <m/>
    <s v="No se etiqueta"/>
  </r>
  <r>
    <x v="323"/>
    <s v="13"/>
    <x v="279"/>
    <d v="2021-09-17T00:00:00"/>
    <n v="1528174"/>
    <n v="-1411783"/>
    <n v="116391"/>
    <s v="COP"/>
    <s v="3009"/>
    <s v="CO52002"/>
    <m/>
    <n v="47567015"/>
    <s v="Almacén"/>
    <n v="41756150"/>
    <x v="0"/>
    <m/>
    <m/>
    <m/>
    <s v="No se etiqueta"/>
  </r>
  <r>
    <x v="323"/>
    <s v="14"/>
    <x v="279"/>
    <d v="2021-09-17T00:00:00"/>
    <n v="1528174"/>
    <n v="-1411783"/>
    <n v="116391"/>
    <s v="COP"/>
    <s v="3009"/>
    <s v="CO52002"/>
    <m/>
    <n v="47567081"/>
    <s v="Calidad"/>
    <n v="41756150"/>
    <x v="27"/>
    <m/>
    <m/>
    <m/>
    <s v="No se etiqueta"/>
  </r>
  <r>
    <x v="323"/>
    <s v="21"/>
    <x v="279"/>
    <d v="2021-09-17T00:00:00"/>
    <n v="1528174"/>
    <n v="-1411783"/>
    <n v="116391"/>
    <s v="COP"/>
    <s v="3009"/>
    <s v="CO52002"/>
    <m/>
    <n v="47567101"/>
    <s v="Mantenimiento"/>
    <n v="41756150"/>
    <x v="28"/>
    <m/>
    <m/>
    <m/>
    <s v="No se etiqueta"/>
  </r>
  <r>
    <x v="323"/>
    <s v="22"/>
    <x v="279"/>
    <d v="2021-09-17T00:00:00"/>
    <n v="1528174"/>
    <n v="-1411783"/>
    <n v="116391"/>
    <s v="COP"/>
    <s v="3009"/>
    <s v="CO52002"/>
    <m/>
    <n v="47567102"/>
    <s v="Processos"/>
    <n v="41756150"/>
    <x v="29"/>
    <m/>
    <m/>
    <m/>
    <s v="No se etiqueta"/>
  </r>
  <r>
    <x v="323"/>
    <s v="23"/>
    <x v="279"/>
    <d v="2021-09-17T00:00:00"/>
    <n v="1528174"/>
    <n v="-1411783"/>
    <n v="116391"/>
    <s v="COP"/>
    <s v="3009"/>
    <s v="CO52002"/>
    <m/>
    <n v="47544010"/>
    <s v="GER. PRODUCCIÓN"/>
    <n v="41754150"/>
    <x v="5"/>
    <m/>
    <m/>
    <m/>
    <s v="No se etiqueta"/>
  </r>
  <r>
    <x v="323"/>
    <s v="20"/>
    <x v="279"/>
    <d v="2021-09-17T00:00:00"/>
    <n v="1528174"/>
    <n v="-1411783"/>
    <n v="116391"/>
    <s v="COP"/>
    <s v="3009"/>
    <s v="CO52002"/>
    <m/>
    <n v="47567064"/>
    <s v="Pruebas"/>
    <n v="41756150"/>
    <x v="5"/>
    <m/>
    <m/>
    <m/>
    <s v="No se etiqueta"/>
  </r>
  <r>
    <x v="323"/>
    <s v="15"/>
    <x v="279"/>
    <d v="2021-09-17T00:00:00"/>
    <n v="1528174"/>
    <n v="-1411783"/>
    <n v="116391"/>
    <s v="COP"/>
    <s v="3009"/>
    <s v="CO52002"/>
    <m/>
    <n v="47567021"/>
    <s v="Servicios en Sitio"/>
    <n v="41756150"/>
    <x v="18"/>
    <m/>
    <m/>
    <m/>
    <s v="No se etiqueta"/>
  </r>
  <r>
    <x v="323"/>
    <s v="16"/>
    <x v="279"/>
    <d v="2021-09-17T00:00:00"/>
    <n v="1528174"/>
    <n v="-1411783"/>
    <n v="116391"/>
    <s v="COP"/>
    <s v="3009"/>
    <s v="CO52002"/>
    <m/>
    <n v="47567060"/>
    <s v="GER. TECNICO"/>
    <n v="41756150"/>
    <x v="26"/>
    <m/>
    <m/>
    <m/>
    <s v="No se etiqueta"/>
  </r>
  <r>
    <x v="323"/>
    <s v="17"/>
    <x v="279"/>
    <d v="2021-09-17T00:00:00"/>
    <n v="1528174"/>
    <n v="-1411783"/>
    <n v="116391"/>
    <s v="COP"/>
    <s v="3009"/>
    <s v="CO52002"/>
    <m/>
    <n v="47567061"/>
    <s v="Diseno Transformadores Secos y Aceite"/>
    <n v="41756150"/>
    <x v="26"/>
    <m/>
    <m/>
    <m/>
    <s v="No se etiqueta"/>
  </r>
  <r>
    <x v="323"/>
    <s v="18"/>
    <x v="279"/>
    <d v="2021-09-17T00:00:00"/>
    <n v="1528174"/>
    <n v="-1411783"/>
    <n v="116391"/>
    <s v="COP"/>
    <s v="3009"/>
    <s v="CO52002"/>
    <m/>
    <n v="47567062"/>
    <s v="Diseno Transformadores Especiales y Potencia"/>
    <n v="41756150"/>
    <x v="26"/>
    <m/>
    <m/>
    <m/>
    <s v="No se etiqueta"/>
  </r>
  <r>
    <x v="323"/>
    <s v="19"/>
    <x v="279"/>
    <d v="2021-09-17T00:00:00"/>
    <n v="1528174"/>
    <n v="-1411783"/>
    <n v="116391"/>
    <s v="COP"/>
    <s v="3009"/>
    <s v="CO52002"/>
    <m/>
    <n v="47567063"/>
    <s v="Diseno Mecanico"/>
    <n v="41756150"/>
    <x v="26"/>
    <m/>
    <m/>
    <m/>
    <s v="No se etiqueta"/>
  </r>
  <r>
    <x v="323"/>
    <s v="6"/>
    <x v="279"/>
    <d v="2021-09-22T00:00:00"/>
    <n v="1528174"/>
    <n v="-1407596"/>
    <n v="120578"/>
    <s v="COP"/>
    <s v="3009"/>
    <s v="CO52002"/>
    <m/>
    <n v="47511051"/>
    <s v="Marketing"/>
    <n v="41751150"/>
    <x v="30"/>
    <m/>
    <m/>
    <m/>
    <s v="No se etiqueta"/>
  </r>
  <r>
    <x v="323"/>
    <s v="7"/>
    <x v="279"/>
    <d v="2021-09-22T00:00:00"/>
    <n v="1528174"/>
    <n v="-1407596"/>
    <n v="120578"/>
    <s v="COP"/>
    <s v="3009"/>
    <s v="CO52002"/>
    <m/>
    <n v="47511021"/>
    <s v="Ventas Oil &amp; Gas"/>
    <n v="41751150"/>
    <x v="30"/>
    <m/>
    <m/>
    <m/>
    <s v="No se etiqueta"/>
  </r>
  <r>
    <x v="323"/>
    <s v="8"/>
    <x v="279"/>
    <d v="2021-09-22T00:00:00"/>
    <n v="1528174"/>
    <n v="-1407596"/>
    <n v="120578"/>
    <s v="COP"/>
    <s v="3009"/>
    <s v="CO52002"/>
    <m/>
    <n v="47511022"/>
    <s v="Ventas Occidente"/>
    <n v="41751150"/>
    <x v="30"/>
    <m/>
    <m/>
    <m/>
    <s v="No se etiqueta"/>
  </r>
  <r>
    <x v="323"/>
    <s v="9"/>
    <x v="279"/>
    <d v="2021-09-17T00:00:00"/>
    <n v="1528174"/>
    <n v="-1411783"/>
    <n v="116391"/>
    <s v="COP"/>
    <s v="3009"/>
    <s v="CO52002"/>
    <m/>
    <n v="47511023"/>
    <s v="Ventas Centro"/>
    <n v="41751150"/>
    <x v="30"/>
    <m/>
    <m/>
    <m/>
    <s v="No se etiqueta"/>
  </r>
  <r>
    <x v="323"/>
    <s v="10"/>
    <x v="279"/>
    <d v="2021-09-17T00:00:00"/>
    <n v="1528174"/>
    <n v="-1411783"/>
    <n v="116391"/>
    <s v="COP"/>
    <s v="3009"/>
    <s v="CO52002"/>
    <m/>
    <n v="47511024"/>
    <s v="Ventas Norte"/>
    <n v="41751150"/>
    <x v="30"/>
    <m/>
    <m/>
    <m/>
    <s v="No se etiqueta"/>
  </r>
  <r>
    <x v="323"/>
    <s v="11"/>
    <x v="279"/>
    <d v="2021-09-17T00:00:00"/>
    <n v="1528174"/>
    <n v="-1411783"/>
    <n v="116391"/>
    <s v="COP"/>
    <s v="3009"/>
    <s v="CO52002"/>
    <m/>
    <n v="47511045"/>
    <s v="Assistencia Técnica"/>
    <n v="41751150"/>
    <x v="30"/>
    <m/>
    <m/>
    <m/>
    <s v="No se etiqueta"/>
  </r>
  <r>
    <x v="323"/>
    <s v="12"/>
    <x v="279"/>
    <d v="2021-09-17T00:00:00"/>
    <n v="1528174"/>
    <n v="-1411783"/>
    <n v="116391"/>
    <s v="COP"/>
    <s v="3009"/>
    <s v="CO52002"/>
    <m/>
    <n v="47511046"/>
    <s v="Administracion de Contractos"/>
    <n v="41751150"/>
    <x v="30"/>
    <m/>
    <m/>
    <m/>
    <s v="No se etiqueta"/>
  </r>
  <r>
    <x v="323"/>
    <s v="24"/>
    <x v="279"/>
    <d v="2021-09-17T00:00:00"/>
    <n v="1528174"/>
    <n v="-1411783"/>
    <n v="116391"/>
    <s v="COP"/>
    <s v="3009"/>
    <s v="CO52002"/>
    <m/>
    <n v="47511020"/>
    <s v="GER. VENTAS"/>
    <n v="41751150"/>
    <x v="30"/>
    <m/>
    <m/>
    <m/>
    <s v="No se etiqueta"/>
  </r>
  <r>
    <x v="324"/>
    <s v="0"/>
    <x v="280"/>
    <d v="2021-10-28T00:00:00"/>
    <n v="2719000"/>
    <n v="-2450825"/>
    <n v="268175"/>
    <s v="COP"/>
    <s v="3009"/>
    <s v="CO52001"/>
    <m/>
    <n v="47500041"/>
    <s v="Contabilidad y Costos"/>
    <n v="41750150"/>
    <x v="5"/>
    <m/>
    <m/>
    <m/>
    <m/>
  </r>
  <r>
    <x v="325"/>
    <s v="0"/>
    <x v="280"/>
    <d v="2021-10-28T00:00:00"/>
    <n v="2719000"/>
    <n v="-2450825"/>
    <n v="268175"/>
    <s v="COP"/>
    <s v="3009"/>
    <s v="CO52001"/>
    <m/>
    <n v="47511024"/>
    <s v="Ventas Norte"/>
    <n v="41751150"/>
    <x v="30"/>
    <m/>
    <m/>
    <m/>
    <m/>
  </r>
  <r>
    <x v="326"/>
    <s v="0"/>
    <x v="281"/>
    <d v="2021-11-02T00:00:00"/>
    <n v="2844000"/>
    <n v="-2555704"/>
    <n v="288296"/>
    <s v="COP"/>
    <s v="3009"/>
    <s v="CO52001"/>
    <m/>
    <n v="47567021"/>
    <s v="Servicios en Sitio"/>
    <n v="41756150"/>
    <x v="18"/>
    <m/>
    <m/>
    <m/>
    <m/>
  </r>
  <r>
    <x v="327"/>
    <s v="0"/>
    <x v="282"/>
    <d v="2022-01-24T00:00:00"/>
    <n v="6178372"/>
    <n v="-6178372"/>
    <n v="0"/>
    <s v="COP"/>
    <s v="3009"/>
    <s v="CO41001"/>
    <m/>
    <n v="47544019"/>
    <s v="Preparación de Aislamento"/>
    <n v="41754150"/>
    <x v="8"/>
    <m/>
    <m/>
    <m/>
    <m/>
  </r>
  <r>
    <x v="328"/>
    <s v="0"/>
    <x v="283"/>
    <d v="2021-11-03T00:00:00"/>
    <n v="5860000"/>
    <n v="-1315691"/>
    <n v="4544309"/>
    <s v="COP"/>
    <s v="3009"/>
    <s v="CO41001"/>
    <m/>
    <n v="47544025"/>
    <s v="Encubado"/>
    <n v="41754150"/>
    <x v="4"/>
    <m/>
    <m/>
    <m/>
    <m/>
  </r>
  <r>
    <x v="329"/>
    <s v="0"/>
    <x v="284"/>
    <d v="2022-02-25T00:00:00"/>
    <n v="94637488"/>
    <n v="-39540320"/>
    <n v="55097168"/>
    <s v="COP"/>
    <s v="3009"/>
    <s v="CO41001"/>
    <m/>
    <n v="47544025"/>
    <s v="Encubado"/>
    <n v="41754150"/>
    <x v="4"/>
    <m/>
    <m/>
    <m/>
    <m/>
  </r>
  <r>
    <x v="330"/>
    <s v="0"/>
    <x v="285"/>
    <d v="2021-11-30T00:00:00"/>
    <n v="9356445"/>
    <n v="-4132218"/>
    <n v="5224227"/>
    <s v="COP"/>
    <s v="3009"/>
    <s v="CO51001"/>
    <m/>
    <n v="47567060"/>
    <s v="GER. TECNICO"/>
    <n v="41756150"/>
    <x v="26"/>
    <m/>
    <m/>
    <m/>
    <m/>
  </r>
  <r>
    <x v="331"/>
    <s v="0"/>
    <x v="286"/>
    <d v="2021-11-30T00:00:00"/>
    <n v="2574880"/>
    <n v="-1137180"/>
    <n v="1437700"/>
    <s v="COP"/>
    <s v="3009"/>
    <s v="CO51001"/>
    <m/>
    <n v="47567060"/>
    <s v="GER. TECNICO"/>
    <n v="41756150"/>
    <x v="26"/>
    <m/>
    <m/>
    <m/>
    <m/>
  </r>
  <r>
    <x v="332"/>
    <s v="0"/>
    <x v="286"/>
    <d v="2021-11-30T00:00:00"/>
    <n v="2574880"/>
    <n v="-1137180"/>
    <n v="1437700"/>
    <s v="COP"/>
    <s v="3009"/>
    <s v="CO51001"/>
    <m/>
    <n v="47567060"/>
    <s v="GER. TECNICO"/>
    <n v="41756150"/>
    <x v="26"/>
    <m/>
    <m/>
    <m/>
    <m/>
  </r>
  <r>
    <x v="333"/>
    <s v="0"/>
    <x v="286"/>
    <d v="2021-11-30T00:00:00"/>
    <n v="2574880"/>
    <n v="-1137180"/>
    <n v="1437700"/>
    <s v="COP"/>
    <s v="3009"/>
    <s v="CO51001"/>
    <m/>
    <n v="47567060"/>
    <s v="GER. TECNICO"/>
    <n v="41756150"/>
    <x v="26"/>
    <m/>
    <m/>
    <m/>
    <m/>
  </r>
  <r>
    <x v="334"/>
    <s v="0"/>
    <x v="287"/>
    <d v="2021-11-30T00:00:00"/>
    <n v="20975992"/>
    <n v="-9263917"/>
    <n v="11712075"/>
    <s v="COP"/>
    <s v="3009"/>
    <s v="CO51001"/>
    <m/>
    <n v="47500000"/>
    <s v="GER. GENERAL WCO-WTD"/>
    <n v="41750150"/>
    <x v="5"/>
    <m/>
    <m/>
    <m/>
    <m/>
  </r>
  <r>
    <x v="335"/>
    <s v="0"/>
    <x v="288"/>
    <d v="2021-11-30T00:00:00"/>
    <n v="11920318"/>
    <n v="-5264536"/>
    <n v="6655782"/>
    <s v="COP"/>
    <s v="3009"/>
    <s v="CO51001"/>
    <m/>
    <n v="47500000"/>
    <s v="GER. GENERAL WCO-WTD"/>
    <n v="41750150"/>
    <x v="5"/>
    <m/>
    <m/>
    <m/>
    <m/>
  </r>
  <r>
    <x v="336"/>
    <s v="0"/>
    <x v="289"/>
    <d v="2021-11-30T00:00:00"/>
    <n v="2566007"/>
    <n v="-1133262"/>
    <n v="1432745"/>
    <s v="COP"/>
    <s v="3009"/>
    <s v="CO51001"/>
    <m/>
    <n v="47500000"/>
    <s v="GER. GENERAL WCO-WTD"/>
    <n v="41750150"/>
    <x v="5"/>
    <m/>
    <m/>
    <m/>
    <m/>
  </r>
  <r>
    <x v="337"/>
    <s v="0"/>
    <x v="290"/>
    <d v="2021-11-30T00:00:00"/>
    <n v="8531551"/>
    <n v="-3767906"/>
    <n v="4763645"/>
    <s v="COP"/>
    <s v="3009"/>
    <s v="CO51001"/>
    <m/>
    <n v="47500000"/>
    <s v="GER. GENERAL WCO-WTD"/>
    <n v="41750150"/>
    <x v="5"/>
    <m/>
    <m/>
    <m/>
    <m/>
  </r>
  <r>
    <x v="338"/>
    <s v="0"/>
    <x v="291"/>
    <d v="2021-11-30T00:00:00"/>
    <n v="2849340"/>
    <n v="-1258394"/>
    <n v="1590946"/>
    <s v="COP"/>
    <s v="3009"/>
    <s v="CO51001"/>
    <m/>
    <n v="47500000"/>
    <s v="GER. GENERAL WCO-WTD"/>
    <n v="41750150"/>
    <x v="5"/>
    <m/>
    <m/>
    <m/>
    <m/>
  </r>
  <r>
    <x v="339"/>
    <s v="0"/>
    <x v="292"/>
    <d v="2021-11-30T00:00:00"/>
    <n v="5332350"/>
    <n v="-2354999"/>
    <n v="2977351"/>
    <s v="COP"/>
    <s v="3009"/>
    <s v="CO51001"/>
    <m/>
    <n v="47500021"/>
    <s v="Recursos Humanos "/>
    <n v="41750150"/>
    <x v="5"/>
    <m/>
    <m/>
    <m/>
    <m/>
  </r>
  <r>
    <x v="340"/>
    <s v="0"/>
    <x v="285"/>
    <d v="2021-11-30T00:00:00"/>
    <n v="6866543"/>
    <n v="-3032565"/>
    <n v="3833978"/>
    <s v="COP"/>
    <s v="3009"/>
    <s v="CO51001"/>
    <m/>
    <n v="47567081"/>
    <s v="Calidad"/>
    <n v="41756150"/>
    <x v="27"/>
    <m/>
    <m/>
    <m/>
    <m/>
  </r>
  <r>
    <x v="341"/>
    <s v="0"/>
    <x v="285"/>
    <d v="2021-11-30T00:00:00"/>
    <n v="5505725"/>
    <n v="-2431571"/>
    <n v="3074154"/>
    <s v="COP"/>
    <s v="3009"/>
    <s v="CO51001"/>
    <m/>
    <n v="47502031"/>
    <s v="Compras"/>
    <n v="41750150"/>
    <x v="5"/>
    <m/>
    <m/>
    <m/>
    <m/>
  </r>
  <r>
    <x v="342"/>
    <s v="0"/>
    <x v="293"/>
    <d v="2021-11-30T00:00:00"/>
    <n v="20251131"/>
    <n v="-8943787"/>
    <n v="11307344"/>
    <s v="COP"/>
    <s v="3009"/>
    <s v="CO51001"/>
    <m/>
    <n v="47567060"/>
    <s v="GER. TECNICO"/>
    <n v="41756150"/>
    <x v="26"/>
    <m/>
    <m/>
    <m/>
    <m/>
  </r>
  <r>
    <x v="343"/>
    <s v="0"/>
    <x v="294"/>
    <d v="2021-11-30T00:00:00"/>
    <n v="12305077"/>
    <n v="-5434462"/>
    <n v="6870615"/>
    <s v="COP"/>
    <s v="3009"/>
    <s v="CO51001"/>
    <m/>
    <n v="47500021"/>
    <s v="Recursos Humanos "/>
    <n v="41750150"/>
    <x v="5"/>
    <m/>
    <m/>
    <m/>
    <m/>
  </r>
  <r>
    <x v="344"/>
    <s v="0"/>
    <x v="295"/>
    <d v="2021-11-30T00:00:00"/>
    <n v="15591917"/>
    <n v="-6886075"/>
    <n v="8705842"/>
    <s v="COP"/>
    <s v="3009"/>
    <s v="CO51001"/>
    <m/>
    <n v="47500051"/>
    <s v="TI"/>
    <n v="41750150"/>
    <x v="5"/>
    <m/>
    <m/>
    <m/>
    <m/>
  </r>
  <r>
    <x v="345"/>
    <s v="0"/>
    <x v="296"/>
    <d v="2021-11-30T00:00:00"/>
    <n v="1633810"/>
    <n v="-721562"/>
    <n v="912248"/>
    <s v="COP"/>
    <s v="3009"/>
    <s v="CO51001"/>
    <m/>
    <n v="47511045"/>
    <s v="Assistencia Técnica"/>
    <n v="41751150"/>
    <x v="30"/>
    <m/>
    <m/>
    <m/>
    <m/>
  </r>
  <r>
    <x v="346"/>
    <s v="0"/>
    <x v="296"/>
    <d v="2021-11-30T00:00:00"/>
    <n v="1633810"/>
    <n v="-721562"/>
    <n v="912248"/>
    <s v="COP"/>
    <s v="3009"/>
    <s v="CO51001"/>
    <m/>
    <n v="47511045"/>
    <s v="Assistencia Técnica"/>
    <n v="41751150"/>
    <x v="30"/>
    <m/>
    <m/>
    <m/>
    <m/>
  </r>
  <r>
    <x v="347"/>
    <s v="0"/>
    <x v="297"/>
    <d v="2021-11-30T00:00:00"/>
    <n v="6940850"/>
    <n v="-3065383"/>
    <n v="3875467"/>
    <s v="COP"/>
    <s v="3009"/>
    <s v="CO51001"/>
    <m/>
    <n v="47567041"/>
    <s v="Planificación de la Producción y Control"/>
    <n v="41756150"/>
    <x v="25"/>
    <m/>
    <m/>
    <m/>
    <m/>
  </r>
  <r>
    <x v="348"/>
    <s v="0"/>
    <x v="297"/>
    <d v="2021-11-30T00:00:00"/>
    <n v="6940850"/>
    <n v="-3065383"/>
    <n v="3875467"/>
    <s v="COP"/>
    <s v="3009"/>
    <s v="CO51001"/>
    <m/>
    <n v="47567041"/>
    <s v="Planificación de la Producción y Control"/>
    <n v="41756150"/>
    <x v="25"/>
    <m/>
    <m/>
    <m/>
    <m/>
  </r>
  <r>
    <x v="349"/>
    <s v="0"/>
    <x v="298"/>
    <d v="2021-11-30T00:00:00"/>
    <n v="5750825"/>
    <n v="-2539818"/>
    <n v="3211007"/>
    <s v="COP"/>
    <s v="3009"/>
    <s v="CO51001"/>
    <m/>
    <n v="47500041"/>
    <s v="Contabilidad y Costos"/>
    <n v="41750150"/>
    <x v="5"/>
    <m/>
    <m/>
    <m/>
    <m/>
  </r>
  <r>
    <x v="350"/>
    <s v="0"/>
    <x v="298"/>
    <d v="2021-11-30T00:00:00"/>
    <n v="5750825"/>
    <n v="-2539818"/>
    <n v="3211007"/>
    <s v="COP"/>
    <s v="3009"/>
    <s v="CO51001"/>
    <m/>
    <n v="47500041"/>
    <s v="Contabilidad y Costos"/>
    <n v="41750150"/>
    <x v="5"/>
    <m/>
    <m/>
    <m/>
    <m/>
  </r>
  <r>
    <x v="351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2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3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4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5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6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7"/>
    <s v="0"/>
    <x v="299"/>
    <d v="2021-11-30T00:00:00"/>
    <n v="1815091"/>
    <n v="-801623"/>
    <n v="1013468"/>
    <s v="COP"/>
    <s v="3009"/>
    <s v="CO51001"/>
    <m/>
    <n v="47544010"/>
    <s v="GER. PRODUCCIÓN"/>
    <n v="41754150"/>
    <x v="5"/>
    <m/>
    <m/>
    <m/>
    <m/>
  </r>
  <r>
    <x v="358"/>
    <s v="0"/>
    <x v="300"/>
    <d v="2021-11-30T00:00:00"/>
    <n v="1323350"/>
    <n v="-1323350"/>
    <n v="0"/>
    <s v="COP"/>
    <s v="3009"/>
    <s v="CO99999"/>
    <m/>
    <n v="47500000"/>
    <s v="GER. GENERAL WCO-WTD"/>
    <n v="41750150"/>
    <x v="5"/>
    <m/>
    <m/>
    <m/>
    <m/>
  </r>
  <r>
    <x v="359"/>
    <s v="0"/>
    <x v="301"/>
    <d v="2021-11-30T00:00:00"/>
    <n v="3969684"/>
    <n v="-1753185"/>
    <n v="2216499"/>
    <s v="COP"/>
    <s v="3009"/>
    <s v="CO51001"/>
    <m/>
    <n v="47502031"/>
    <s v="Compras"/>
    <n v="41750150"/>
    <x v="5"/>
    <m/>
    <m/>
    <m/>
    <m/>
  </r>
  <r>
    <x v="360"/>
    <s v="0"/>
    <x v="302"/>
    <d v="2021-11-30T00:00:00"/>
    <n v="30536823"/>
    <n v="-13486398"/>
    <n v="17050425"/>
    <s v="COP"/>
    <s v="3009"/>
    <s v="CO51001"/>
    <m/>
    <n v="47511046"/>
    <s v="Administracion de Contractos"/>
    <n v="41751150"/>
    <x v="30"/>
    <m/>
    <m/>
    <m/>
    <m/>
  </r>
  <r>
    <x v="361"/>
    <s v="0"/>
    <x v="303"/>
    <d v="2022-01-24T00:00:00"/>
    <n v="4724700"/>
    <n v="-2015441"/>
    <n v="2709259"/>
    <s v="COP"/>
    <s v="3009"/>
    <s v="CO51001"/>
    <m/>
    <n v="47511020"/>
    <s v="GER. VENTAS"/>
    <n v="41751150"/>
    <x v="30"/>
    <m/>
    <m/>
    <m/>
    <m/>
  </r>
  <r>
    <x v="362"/>
    <s v="0"/>
    <x v="304"/>
    <d v="2022-04-19T00:00:00"/>
    <n v="10472000"/>
    <n v="-4223229"/>
    <n v="6248771"/>
    <s v="COP"/>
    <s v="3009"/>
    <s v="CO41001"/>
    <m/>
    <n v="47544017"/>
    <s v="Preparación Encapsulados"/>
    <n v="41754150"/>
    <x v="0"/>
    <m/>
    <m/>
    <m/>
    <m/>
  </r>
  <r>
    <x v="363"/>
    <s v="0"/>
    <x v="305"/>
    <d v="2022-03-22T00:00:00"/>
    <n v="44965500"/>
    <n v="-18478973"/>
    <n v="26486527"/>
    <s v="COP"/>
    <s v="3009"/>
    <s v="CO42001"/>
    <m/>
    <n v="47544024"/>
    <s v="Ensamble Parte Activa &gt;300 KVA"/>
    <n v="41754150"/>
    <x v="1"/>
    <m/>
    <m/>
    <m/>
    <m/>
  </r>
  <r>
    <x v="363"/>
    <s v="1"/>
    <x v="306"/>
    <d v="2022-07-08T00:00:00"/>
    <n v="5500000"/>
    <n v="-2097534"/>
    <n v="3402466"/>
    <s v="COP"/>
    <s v="3009"/>
    <s v="CO42001"/>
    <m/>
    <n v="47544024"/>
    <s v="Ensamble Parte Activa &gt;300 KVA"/>
    <n v="41754150"/>
    <x v="1"/>
    <m/>
    <m/>
    <m/>
    <m/>
  </r>
  <r>
    <x v="364"/>
    <s v="0"/>
    <x v="307"/>
    <d v="2022-04-21T00:00:00"/>
    <n v="31899999"/>
    <n v="-12847397"/>
    <n v="19052602"/>
    <s v="COP"/>
    <s v="3009"/>
    <s v="CO41001"/>
    <m/>
    <n v="47544032"/>
    <s v="Laboratório Aceite, Encapasuldo y Seco &gt;300 kVA"/>
    <n v="41754150"/>
    <x v="20"/>
    <m/>
    <m/>
    <m/>
    <m/>
  </r>
  <r>
    <x v="365"/>
    <s v="0"/>
    <x v="308"/>
    <d v="2022-03-09T00:00:00"/>
    <n v="4318420"/>
    <n v="-4318420"/>
    <n v="0"/>
    <s v="COP"/>
    <s v="3009"/>
    <s v="CO52001"/>
    <m/>
    <n v="47567102"/>
    <s v="Processos"/>
    <n v="41756150"/>
    <x v="29"/>
    <m/>
    <m/>
    <m/>
    <m/>
  </r>
  <r>
    <x v="366"/>
    <s v="0"/>
    <x v="309"/>
    <d v="2022-04-21T00:00:00"/>
    <n v="4086056"/>
    <n v="-3291233"/>
    <n v="794823"/>
    <s v="COP"/>
    <s v="3009"/>
    <s v="CO52001"/>
    <m/>
    <n v="47511045"/>
    <s v="Assistencia Técnica"/>
    <n v="41751150"/>
    <x v="30"/>
    <m/>
    <m/>
    <m/>
    <m/>
  </r>
  <r>
    <x v="367"/>
    <s v="0"/>
    <x v="309"/>
    <d v="2022-04-21T00:00:00"/>
    <n v="4086056"/>
    <n v="-3291233"/>
    <n v="794823"/>
    <s v="COP"/>
    <s v="3009"/>
    <s v="CO52001"/>
    <m/>
    <n v="47511051"/>
    <s v="Marketing"/>
    <n v="41751150"/>
    <x v="30"/>
    <m/>
    <m/>
    <m/>
    <m/>
  </r>
  <r>
    <x v="368"/>
    <s v="0"/>
    <x v="309"/>
    <d v="2022-04-21T00:00:00"/>
    <n v="4086057"/>
    <n v="-3291234"/>
    <n v="794823"/>
    <s v="COP"/>
    <s v="3009"/>
    <s v="CO52001"/>
    <m/>
    <n v="47511046"/>
    <s v="Administracion de Contractos"/>
    <n v="41751150"/>
    <x v="30"/>
    <m/>
    <m/>
    <m/>
    <m/>
  </r>
  <r>
    <x v="369"/>
    <s v="0"/>
    <x v="309"/>
    <d v="2022-04-21T00:00:00"/>
    <n v="4086057"/>
    <n v="-3291234"/>
    <n v="794823"/>
    <s v="COP"/>
    <s v="3009"/>
    <s v="CO52001"/>
    <m/>
    <n v="47567021"/>
    <s v="Servicios en Sitio"/>
    <n v="41756150"/>
    <x v="18"/>
    <m/>
    <m/>
    <m/>
    <m/>
  </r>
  <r>
    <x v="370"/>
    <s v="0"/>
    <x v="310"/>
    <d v="2022-10-24T00:00:00"/>
    <n v="398581813"/>
    <n v="-140213437"/>
    <n v="258368376"/>
    <s v="COP"/>
    <s v="3009"/>
    <s v="CO51001"/>
    <m/>
    <n v="47567021"/>
    <s v="Servicios en Sitio"/>
    <n v="41756150"/>
    <x v="18"/>
    <m/>
    <m/>
    <m/>
    <m/>
  </r>
  <r>
    <x v="371"/>
    <s v="0"/>
    <x v="311"/>
    <d v="2022-10-24T00:00:00"/>
    <n v="99169178"/>
    <n v="-34885816"/>
    <n v="64283362"/>
    <s v="COP"/>
    <s v="3009"/>
    <s v="CO51001"/>
    <m/>
    <n v="47567021"/>
    <s v="Servicios en Sitio"/>
    <n v="41756150"/>
    <x v="18"/>
    <m/>
    <m/>
    <m/>
    <m/>
  </r>
  <r>
    <x v="372"/>
    <s v="0"/>
    <x v="312"/>
    <d v="2022-10-24T00:00:00"/>
    <n v="165357837"/>
    <n v="-58169717"/>
    <n v="107188120"/>
    <s v="COP"/>
    <s v="3009"/>
    <s v="CO51001"/>
    <m/>
    <n v="47544032"/>
    <s v="Laboratório Aceite, Encapasuldo y Seco &gt;300 kVA"/>
    <n v="41754150"/>
    <x v="3"/>
    <m/>
    <m/>
    <m/>
    <m/>
  </r>
  <r>
    <x v="373"/>
    <s v="0"/>
    <x v="313"/>
    <d v="2022-05-18T00:00:00"/>
    <n v="4378212"/>
    <n v="-3461785"/>
    <n v="916427"/>
    <s v="COP"/>
    <s v="3009"/>
    <s v="CO52001"/>
    <m/>
    <n v="47500021"/>
    <s v="Recursos Humanos "/>
    <n v="41750150"/>
    <x v="5"/>
    <m/>
    <m/>
    <m/>
    <m/>
  </r>
  <r>
    <x v="374"/>
    <s v="0"/>
    <x v="314"/>
    <d v="2022-06-02T00:00:00"/>
    <n v="3700000"/>
    <n v="-1447562"/>
    <n v="2252438"/>
    <s v="COP"/>
    <s v="3009"/>
    <s v="CO41001"/>
    <m/>
    <n v="47544034"/>
    <s v="Enhuacalado"/>
    <n v="41754150"/>
    <x v="31"/>
    <m/>
    <m/>
    <m/>
    <m/>
  </r>
  <r>
    <x v="375"/>
    <s v="0"/>
    <x v="315"/>
    <d v="2022-06-10T00:00:00"/>
    <n v="3498600"/>
    <n v="-2722198"/>
    <n v="776402"/>
    <s v="COP"/>
    <s v="3009"/>
    <s v="CO52001"/>
    <m/>
    <n v="47544010"/>
    <s v="GER. PRODUCCIÓN"/>
    <n v="41754150"/>
    <x v="5"/>
    <m/>
    <m/>
    <m/>
    <m/>
  </r>
  <r>
    <x v="376"/>
    <s v="0"/>
    <x v="316"/>
    <d v="2022-10-14T00:00:00"/>
    <n v="16096320"/>
    <n v="-11412952"/>
    <n v="4683368"/>
    <s v="COP"/>
    <s v="3009"/>
    <s v="CO47001"/>
    <m/>
    <n v="47567064"/>
    <s v="Pruebas"/>
    <n v="41756150"/>
    <x v="3"/>
    <m/>
    <m/>
    <m/>
    <m/>
  </r>
  <r>
    <x v="377"/>
    <s v="0"/>
    <x v="317"/>
    <d v="2022-12-14T00:00:00"/>
    <n v="39741318"/>
    <n v="-13411560"/>
    <n v="26329758"/>
    <s v="COP"/>
    <s v="3009"/>
    <s v="CO42001"/>
    <m/>
    <n v="47544021"/>
    <s v="Devanados Seco DT, MF y MDF"/>
    <n v="41754150"/>
    <x v="31"/>
    <m/>
    <m/>
    <m/>
    <m/>
  </r>
  <r>
    <x v="378"/>
    <s v="0"/>
    <x v="318"/>
    <d v="2022-12-14T00:00:00"/>
    <n v="45040155"/>
    <n v="-15199765"/>
    <n v="29840390"/>
    <s v="COP"/>
    <s v="3009"/>
    <s v="CO42001"/>
    <m/>
    <n v="47544021"/>
    <s v="Devanados Seco DT, MF y MDF"/>
    <n v="41754150"/>
    <x v="31"/>
    <m/>
    <m/>
    <m/>
    <m/>
  </r>
  <r>
    <x v="379"/>
    <s v="0"/>
    <x v="319"/>
    <d v="2022-12-14T00:00:00"/>
    <n v="63586068"/>
    <n v="-21458481"/>
    <n v="42127587"/>
    <s v="COP"/>
    <s v="3009"/>
    <s v="CO42001"/>
    <m/>
    <n v="47544021"/>
    <s v="Devanados Seco DT, MF y MDF"/>
    <n v="41754150"/>
    <x v="31"/>
    <m/>
    <m/>
    <m/>
    <m/>
  </r>
  <r>
    <x v="380"/>
    <s v="0"/>
    <x v="320"/>
    <d v="2022-06-28T00:00:00"/>
    <n v="3744997"/>
    <n v="-2876977"/>
    <n v="868020"/>
    <s v="COP"/>
    <s v="3009"/>
    <s v="CO52001"/>
    <m/>
    <n v="47511046"/>
    <s v="Administracion de Contractos"/>
    <n v="41751150"/>
    <x v="30"/>
    <m/>
    <m/>
    <m/>
    <m/>
  </r>
  <r>
    <x v="381"/>
    <s v="0"/>
    <x v="321"/>
    <d v="2022-08-19T00:00:00"/>
    <n v="8211029"/>
    <n v="-3036957"/>
    <n v="5174072"/>
    <s v="COP"/>
    <s v="3009"/>
    <s v="CO41001"/>
    <m/>
    <n v="47500021"/>
    <s v="Recursos Humanos "/>
    <n v="41750150"/>
    <x v="5"/>
    <m/>
    <m/>
    <m/>
    <m/>
  </r>
  <r>
    <x v="382"/>
    <s v="0"/>
    <x v="322"/>
    <d v="2022-08-04T00:00:00"/>
    <n v="4203581"/>
    <n v="-1572024"/>
    <n v="2631557"/>
    <s v="COP"/>
    <s v="3009"/>
    <s v="CO47001"/>
    <m/>
    <n v="47544032"/>
    <s v="Laboratório Aceite, Encapasuldo y Seco &gt;300 kVA"/>
    <n v="41754150"/>
    <x v="3"/>
    <m/>
    <m/>
    <m/>
    <m/>
  </r>
  <r>
    <x v="383"/>
    <s v="0"/>
    <x v="323"/>
    <d v="2022-08-04T00:00:00"/>
    <n v="4203581"/>
    <n v="-1572024"/>
    <n v="2631557"/>
    <s v="COP"/>
    <s v="3009"/>
    <s v="CO47001"/>
    <m/>
    <n v="47544032"/>
    <s v="Laboratório Aceite, Encapasuldo y Seco &gt;300 kVA"/>
    <n v="41754150"/>
    <x v="3"/>
    <m/>
    <m/>
    <m/>
    <m/>
  </r>
  <r>
    <x v="384"/>
    <s v="0"/>
    <x v="324"/>
    <d v="2022-08-09T00:00:00"/>
    <n v="2990000"/>
    <n v="-1114082"/>
    <n v="1875918"/>
    <s v="COP"/>
    <s v="3009"/>
    <s v="CO41001"/>
    <m/>
    <n v="47544019"/>
    <s v="Preparación de Aislamento"/>
    <n v="41754150"/>
    <x v="32"/>
    <m/>
    <m/>
    <m/>
    <m/>
  </r>
  <r>
    <x v="385"/>
    <s v="0"/>
    <x v="325"/>
    <d v="2022-08-29T00:00:00"/>
    <n v="33938450"/>
    <n v="-12459596"/>
    <n v="21478854"/>
    <s v="COP"/>
    <s v="3009"/>
    <s v="CO41001"/>
    <m/>
    <n v="47544013"/>
    <s v="Esamble Tanques"/>
    <n v="41754150"/>
    <x v="13"/>
    <m/>
    <m/>
    <m/>
    <m/>
  </r>
  <r>
    <x v="386"/>
    <s v="0"/>
    <x v="326"/>
    <d v="2023-05-31T00:00:00"/>
    <n v="19125000"/>
    <n v="-5580308"/>
    <n v="13544692"/>
    <s v="COP"/>
    <s v="3009"/>
    <s v="CO42001"/>
    <m/>
    <n v="47544024"/>
    <s v="Ensamble Parte Activa &gt;300 KVA"/>
    <n v="41754150"/>
    <x v="20"/>
    <m/>
    <m/>
    <m/>
    <m/>
  </r>
  <r>
    <x v="387"/>
    <s v="0"/>
    <x v="327"/>
    <d v="2022-08-24T00:00:00"/>
    <n v="2980000"/>
    <n v="-2196219"/>
    <n v="783781"/>
    <s v="COP"/>
    <s v="3009"/>
    <s v="CO52001"/>
    <m/>
    <n v="47567101"/>
    <s v="Mantenimiento"/>
    <n v="41756150"/>
    <x v="28"/>
    <m/>
    <m/>
    <m/>
    <m/>
  </r>
  <r>
    <x v="388"/>
    <s v="0"/>
    <x v="328"/>
    <d v="2022-08-24T00:00:00"/>
    <n v="2980000"/>
    <n v="-2196219"/>
    <n v="783781"/>
    <s v="COP"/>
    <s v="3009"/>
    <s v="CO52001"/>
    <m/>
    <n v="47500021"/>
    <s v="Recursos Humanos "/>
    <n v="41750150"/>
    <x v="5"/>
    <m/>
    <m/>
    <m/>
    <m/>
  </r>
  <r>
    <x v="389"/>
    <s v="0"/>
    <x v="329"/>
    <d v="2022-08-24T00:00:00"/>
    <n v="2980000"/>
    <n v="-2196219"/>
    <n v="783781"/>
    <s v="COP"/>
    <s v="3009"/>
    <s v="CO52001"/>
    <m/>
    <n v="47511021"/>
    <s v="Ventas Oil &amp; Gas"/>
    <n v="41751150"/>
    <x v="30"/>
    <m/>
    <m/>
    <m/>
    <m/>
  </r>
  <r>
    <x v="390"/>
    <s v="0"/>
    <x v="330"/>
    <d v="2022-08-24T00:00:00"/>
    <n v="3924900"/>
    <n v="-2892598"/>
    <n v="1032302"/>
    <s v="COP"/>
    <s v="3009"/>
    <s v="CO52001"/>
    <m/>
    <n v="47544010"/>
    <s v="GER. PRODUCCIÓN"/>
    <n v="41754150"/>
    <x v="5"/>
    <m/>
    <m/>
    <m/>
    <m/>
  </r>
  <r>
    <x v="391"/>
    <s v="0"/>
    <x v="331"/>
    <d v="2022-08-24T00:00:00"/>
    <n v="4160000"/>
    <n v="-3065863"/>
    <n v="1094137"/>
    <s v="COP"/>
    <s v="3009"/>
    <s v="CO52001"/>
    <m/>
    <n v="47567062"/>
    <s v="Diseno Transformadores Especiales y Potencia"/>
    <n v="41756150"/>
    <x v="26"/>
    <m/>
    <m/>
    <m/>
    <m/>
  </r>
  <r>
    <x v="392"/>
    <s v="0"/>
    <x v="332"/>
    <d v="2022-09-06T00:00:00"/>
    <n v="240000000"/>
    <n v="-87583562"/>
    <n v="152416438"/>
    <s v="COP"/>
    <s v="3009"/>
    <s v="CO60001"/>
    <m/>
    <n v="47500000"/>
    <s v="GER. GENERAL WCO-WTD"/>
    <n v="41750150"/>
    <x v="5"/>
    <m/>
    <m/>
    <m/>
    <m/>
  </r>
  <r>
    <x v="393"/>
    <s v="0"/>
    <x v="333"/>
    <d v="2022-10-06T00:00:00"/>
    <n v="4170000"/>
    <n v="-2974981"/>
    <n v="1195019"/>
    <s v="COP"/>
    <s v="3009"/>
    <s v="CO52001"/>
    <m/>
    <n v="47567062"/>
    <s v="Diseno Transformadores Especiales y Potencia"/>
    <n v="41756150"/>
    <x v="26"/>
    <m/>
    <m/>
    <m/>
    <m/>
  </r>
  <r>
    <x v="394"/>
    <s v="0"/>
    <x v="334"/>
    <d v="2022-10-06T00:00:00"/>
    <n v="4170000"/>
    <n v="-2974981"/>
    <n v="1195019"/>
    <s v="COP"/>
    <s v="3009"/>
    <s v="CO52001"/>
    <m/>
    <n v="47567062"/>
    <s v="Diseno Transformadores Especiales y Potencia"/>
    <n v="41756150"/>
    <x v="26"/>
    <m/>
    <m/>
    <m/>
    <m/>
  </r>
  <r>
    <x v="395"/>
    <s v="0"/>
    <x v="335"/>
    <d v="2022-10-06T00:00:00"/>
    <n v="4170000"/>
    <n v="-2974981"/>
    <n v="1195019"/>
    <s v="COP"/>
    <s v="3009"/>
    <s v="CO52001"/>
    <m/>
    <n v="47567062"/>
    <s v="Diseno Transformadores Especiales y Potencia"/>
    <n v="41756150"/>
    <x v="26"/>
    <m/>
    <m/>
    <m/>
    <m/>
  </r>
  <r>
    <x v="396"/>
    <s v="0"/>
    <x v="336"/>
    <d v="2022-10-06T00:00:00"/>
    <n v="4170000"/>
    <n v="-2974981"/>
    <n v="1195019"/>
    <s v="COP"/>
    <s v="3009"/>
    <s v="CO52001"/>
    <m/>
    <n v="47567062"/>
    <s v="Diseno Transformadores Especiales y Potencia"/>
    <n v="41756150"/>
    <x v="26"/>
    <m/>
    <m/>
    <m/>
    <m/>
  </r>
  <r>
    <x v="397"/>
    <s v="0"/>
    <x v="337"/>
    <d v="2022-10-05T00:00:00"/>
    <n v="32219667"/>
    <n v="-11501981"/>
    <n v="20717686"/>
    <s v="COP"/>
    <s v="3009"/>
    <s v="CO41001"/>
    <m/>
    <n v="47544013"/>
    <s v="Esamble Tanques"/>
    <n v="41754150"/>
    <x v="13"/>
    <m/>
    <m/>
    <m/>
    <m/>
  </r>
  <r>
    <x v="398"/>
    <s v="0"/>
    <x v="338"/>
    <d v="2022-11-17T00:00:00"/>
    <n v="4500000"/>
    <n v="-1553424"/>
    <n v="2946576"/>
    <s v="COP"/>
    <s v="3009"/>
    <s v="CO42001"/>
    <m/>
    <n v="47544021"/>
    <s v="Devanados Seco DT, MF y MDF"/>
    <n v="41754150"/>
    <x v="31"/>
    <m/>
    <m/>
    <m/>
    <m/>
  </r>
  <r>
    <x v="399"/>
    <s v="0"/>
    <x v="339"/>
    <d v="2022-10-31T00:00:00"/>
    <n v="5932819"/>
    <n v="-4151348"/>
    <n v="1781471"/>
    <s v="COP"/>
    <s v="3009"/>
    <s v="CO52001"/>
    <m/>
    <n v="47567064"/>
    <s v="Pruebas"/>
    <n v="41756150"/>
    <x v="3"/>
    <m/>
    <m/>
    <m/>
    <m/>
  </r>
  <r>
    <x v="400"/>
    <s v="0"/>
    <x v="340"/>
    <d v="2022-11-09T00:00:00"/>
    <n v="13530000"/>
    <n v="-4700285"/>
    <n v="8829715"/>
    <s v="COP"/>
    <s v="3009"/>
    <s v="CO42001"/>
    <m/>
    <n v="47544013"/>
    <s v="Esamble Tanques"/>
    <n v="41754150"/>
    <x v="2"/>
    <m/>
    <m/>
    <m/>
    <m/>
  </r>
  <r>
    <x v="401"/>
    <s v="0"/>
    <x v="341"/>
    <d v="2023-04-27T00:00:00"/>
    <n v="12700000"/>
    <n v="-3823918"/>
    <n v="8876082"/>
    <s v="COP"/>
    <s v="3009"/>
    <s v="CO44001"/>
    <m/>
    <n v="47544017"/>
    <s v="Preparación Encapsulados"/>
    <n v="41754150"/>
    <x v="0"/>
    <m/>
    <m/>
    <m/>
    <m/>
  </r>
  <r>
    <x v="402"/>
    <s v="0"/>
    <x v="342"/>
    <d v="2023-04-27T00:00:00"/>
    <n v="11800000"/>
    <n v="-3552931"/>
    <n v="8247069"/>
    <s v="COP"/>
    <s v="3009"/>
    <s v="CO44001"/>
    <m/>
    <n v="47544018"/>
    <s v="Devanados Encapsulados"/>
    <n v="41754150"/>
    <x v="7"/>
    <m/>
    <m/>
    <m/>
    <m/>
  </r>
  <r>
    <x v="403"/>
    <s v="0"/>
    <x v="343"/>
    <d v="2023-04-27T00:00:00"/>
    <n v="10500000"/>
    <n v="-3161506"/>
    <n v="7338494"/>
    <s v="COP"/>
    <s v="3009"/>
    <s v="CO44001"/>
    <m/>
    <n v="47544017"/>
    <s v="Preparación Encapsulados"/>
    <n v="41754150"/>
    <x v="0"/>
    <m/>
    <m/>
    <m/>
    <m/>
  </r>
  <r>
    <x v="404"/>
    <s v="0"/>
    <x v="344"/>
    <d v="2022-11-23T00:00:00"/>
    <n v="3810169"/>
    <n v="-2618057"/>
    <n v="1192112"/>
    <s v="COP"/>
    <s v="3009"/>
    <s v="CO52001"/>
    <m/>
    <n v="47511021"/>
    <s v="Ventas Oil &amp; Gas"/>
    <n v="41751150"/>
    <x v="30"/>
    <m/>
    <m/>
    <m/>
    <m/>
  </r>
  <r>
    <x v="405"/>
    <s v="0"/>
    <x v="345"/>
    <d v="2022-11-23T00:00:00"/>
    <n v="3810169"/>
    <n v="-2618057"/>
    <n v="1192112"/>
    <s v="COP"/>
    <s v="3009"/>
    <s v="CO52001"/>
    <m/>
    <n v="47567101"/>
    <s v="Mantenimiento"/>
    <n v="41756150"/>
    <x v="28"/>
    <m/>
    <m/>
    <m/>
    <m/>
  </r>
  <r>
    <x v="406"/>
    <s v="0"/>
    <x v="345"/>
    <d v="2022-11-23T00:00:00"/>
    <n v="3810169"/>
    <n v="-2618057"/>
    <n v="1192112"/>
    <s v="COP"/>
    <s v="3009"/>
    <s v="CO52001"/>
    <m/>
    <n v="47567041"/>
    <s v="Planificación de la Producción y Control"/>
    <n v="41756150"/>
    <x v="25"/>
    <m/>
    <m/>
    <m/>
    <m/>
  </r>
  <r>
    <x v="407"/>
    <s v="0"/>
    <x v="345"/>
    <d v="2022-11-23T00:00:00"/>
    <n v="3810169"/>
    <n v="-2618057"/>
    <n v="1192112"/>
    <s v="COP"/>
    <s v="3009"/>
    <s v="CO52001"/>
    <m/>
    <n v="47567081"/>
    <s v="Calidad"/>
    <n v="41756150"/>
    <x v="27"/>
    <m/>
    <m/>
    <m/>
    <m/>
  </r>
  <r>
    <x v="408"/>
    <s v="0"/>
    <x v="346"/>
    <d v="2023-01-24T00:00:00"/>
    <n v="4059566"/>
    <n v="-1325755"/>
    <n v="2733811"/>
    <s v="COP"/>
    <s v="3009"/>
    <s v="CO41001"/>
    <m/>
    <n v="47544024"/>
    <s v="Ensamble Parte Activa &gt;300 KVA"/>
    <n v="41754150"/>
    <x v="20"/>
    <m/>
    <m/>
    <m/>
    <m/>
  </r>
  <r>
    <x v="409"/>
    <s v="0"/>
    <x v="347"/>
    <d v="2022-12-14T00:00:00"/>
    <n v="3772544"/>
    <n v="-2548794"/>
    <n v="1223750"/>
    <s v="COP"/>
    <s v="3009"/>
    <s v="CO52001"/>
    <m/>
    <n v="47511022"/>
    <s v="Ventas Occidente"/>
    <n v="41751150"/>
    <x v="30"/>
    <m/>
    <m/>
    <m/>
    <m/>
  </r>
  <r>
    <x v="410"/>
    <s v="0"/>
    <x v="347"/>
    <d v="2022-12-14T00:00:00"/>
    <n v="3772545"/>
    <n v="-2548794"/>
    <n v="1223751"/>
    <s v="COP"/>
    <s v="3009"/>
    <s v="CO52001"/>
    <m/>
    <n v="47511021"/>
    <s v="Ventas Oil &amp; Gas"/>
    <n v="41751150"/>
    <x v="30"/>
    <m/>
    <m/>
    <m/>
    <m/>
  </r>
  <r>
    <x v="411"/>
    <s v="0"/>
    <x v="347"/>
    <d v="2022-12-14T00:00:00"/>
    <n v="3772544"/>
    <n v="-2548794"/>
    <n v="1223750"/>
    <s v="COP"/>
    <s v="3009"/>
    <s v="CO52001"/>
    <m/>
    <n v="47544010"/>
    <s v="GER. PRODUCCIÓN"/>
    <n v="41754150"/>
    <x v="5"/>
    <m/>
    <m/>
    <m/>
    <m/>
  </r>
  <r>
    <x v="412"/>
    <s v="0"/>
    <x v="348"/>
    <d v="2022-12-12T00:00:00"/>
    <n v="1"/>
    <n v="0"/>
    <n v="1"/>
    <s v="COP"/>
    <s v="3009"/>
    <s v="CO52001"/>
    <m/>
    <n v="47502031"/>
    <s v="Compras"/>
    <n v="41750150"/>
    <x v="5"/>
    <m/>
    <m/>
    <m/>
    <m/>
  </r>
  <r>
    <x v="413"/>
    <s v="0"/>
    <x v="349"/>
    <d v="2022-12-12T00:00:00"/>
    <n v="1"/>
    <n v="0"/>
    <n v="1"/>
    <s v="COP"/>
    <s v="3009"/>
    <s v="CO52001"/>
    <m/>
    <n v="47567064"/>
    <s v="Pruebas"/>
    <n v="41756150"/>
    <x v="3"/>
    <m/>
    <m/>
    <m/>
    <m/>
  </r>
  <r>
    <x v="414"/>
    <s v="0"/>
    <x v="350"/>
    <d v="2022-12-12T00:00:00"/>
    <n v="1"/>
    <n v="0"/>
    <n v="1"/>
    <s v="COP"/>
    <s v="3009"/>
    <s v="CO52001"/>
    <m/>
    <n v="47567063"/>
    <s v="Diseno Mecanico"/>
    <n v="41756150"/>
    <x v="26"/>
    <m/>
    <m/>
    <m/>
    <m/>
  </r>
  <r>
    <x v="415"/>
    <s v="0"/>
    <x v="350"/>
    <d v="2022-12-12T00:00:00"/>
    <n v="1"/>
    <n v="0"/>
    <n v="1"/>
    <s v="COP"/>
    <s v="3009"/>
    <s v="CO52001"/>
    <m/>
    <n v="47567063"/>
    <s v="Diseno Mecanico"/>
    <n v="41756150"/>
    <x v="26"/>
    <m/>
    <m/>
    <m/>
    <m/>
  </r>
  <r>
    <x v="416"/>
    <s v="0"/>
    <x v="351"/>
    <d v="2022-12-12T00:00:00"/>
    <n v="1"/>
    <n v="0"/>
    <n v="1"/>
    <s v="COP"/>
    <s v="3009"/>
    <s v="CO52001"/>
    <m/>
    <n v="47567061"/>
    <s v="Diseno Transformadores Secos y Aceite"/>
    <n v="41756150"/>
    <x v="26"/>
    <m/>
    <m/>
    <m/>
    <m/>
  </r>
  <r>
    <x v="417"/>
    <s v="0"/>
    <x v="352"/>
    <d v="2022-12-13T00:00:00"/>
    <n v="1"/>
    <n v="0"/>
    <n v="1"/>
    <s v="COP"/>
    <s v="3009"/>
    <s v="CO52001"/>
    <m/>
    <n v="47567021"/>
    <s v="Servicios en Sitio"/>
    <n v="41756150"/>
    <x v="18"/>
    <m/>
    <m/>
    <m/>
    <m/>
  </r>
  <r>
    <x v="418"/>
    <s v="0"/>
    <x v="351"/>
    <d v="2022-12-13T00:00:00"/>
    <n v="1"/>
    <n v="0"/>
    <n v="1"/>
    <s v="COP"/>
    <s v="3009"/>
    <s v="CO52001"/>
    <m/>
    <n v="47567061"/>
    <s v="Diseno Transformadores Secos y Aceite"/>
    <n v="41756150"/>
    <x v="26"/>
    <m/>
    <m/>
    <m/>
    <m/>
  </r>
  <r>
    <x v="419"/>
    <s v="0"/>
    <x v="352"/>
    <d v="2022-12-13T00:00:00"/>
    <n v="1"/>
    <n v="0"/>
    <n v="1"/>
    <s v="COP"/>
    <s v="3009"/>
    <s v="CO52001"/>
    <m/>
    <n v="47567041"/>
    <s v="Planificación de la Producción y Control"/>
    <n v="41756150"/>
    <x v="25"/>
    <m/>
    <m/>
    <m/>
    <m/>
  </r>
  <r>
    <x v="420"/>
    <s v="0"/>
    <x v="353"/>
    <d v="2022-12-13T00:00:00"/>
    <n v="1"/>
    <n v="0"/>
    <n v="1"/>
    <s v="COP"/>
    <s v="3009"/>
    <s v="CO47001"/>
    <m/>
    <n v="47567064"/>
    <s v="Pruebas"/>
    <n v="41756150"/>
    <x v="3"/>
    <m/>
    <m/>
    <m/>
    <m/>
  </r>
  <r>
    <x v="421"/>
    <s v="0"/>
    <x v="354"/>
    <d v="2022-12-13T00:00:00"/>
    <n v="1"/>
    <n v="0"/>
    <n v="1"/>
    <s v="COP"/>
    <s v="3009"/>
    <s v="CO47001"/>
    <m/>
    <n v="47567101"/>
    <s v="Mantenimiento"/>
    <n v="41756150"/>
    <x v="28"/>
    <m/>
    <m/>
    <m/>
    <m/>
  </r>
  <r>
    <x v="422"/>
    <s v="0"/>
    <x v="355"/>
    <d v="2023-08-03T00:00:00"/>
    <n v="15560298"/>
    <n v="-4267358"/>
    <n v="11292940"/>
    <s v="COP"/>
    <s v="3009"/>
    <s v="CO41001"/>
    <m/>
    <n v="47544013"/>
    <s v="Esamble Tanques"/>
    <n v="41754150"/>
    <x v="13"/>
    <m/>
    <m/>
    <m/>
    <m/>
  </r>
  <r>
    <x v="423"/>
    <s v="0"/>
    <x v="356"/>
    <d v="2022-12-13T00:00:00"/>
    <n v="1"/>
    <n v="0"/>
    <n v="1"/>
    <s v="COP"/>
    <s v="3009"/>
    <s v="CO51001"/>
    <m/>
    <n v="47567101"/>
    <s v="Mantenimiento"/>
    <n v="41756150"/>
    <x v="28"/>
    <m/>
    <m/>
    <m/>
    <m/>
  </r>
  <r>
    <x v="424"/>
    <s v="0"/>
    <x v="357"/>
    <d v="2022-12-13T00:00:00"/>
    <n v="1"/>
    <n v="0"/>
    <n v="1"/>
    <s v="COP"/>
    <s v="3009"/>
    <s v="CO41001"/>
    <m/>
    <n v="47567101"/>
    <s v="Mantenimiento"/>
    <n v="41756150"/>
    <x v="28"/>
    <m/>
    <m/>
    <m/>
    <m/>
  </r>
  <r>
    <x v="425"/>
    <s v="1"/>
    <x v="358"/>
    <d v="2025-02-18T00:00:00"/>
    <n v="35050000"/>
    <n v="-8392795"/>
    <n v="26657205"/>
    <s v="COP"/>
    <s v="3009"/>
    <s v="CO41001"/>
    <m/>
    <n v="47544013"/>
    <s v="Esamble Tanques"/>
    <n v="41754150"/>
    <x v="2"/>
    <m/>
    <m/>
    <m/>
    <m/>
  </r>
  <r>
    <x v="426"/>
    <s v="0"/>
    <x v="359"/>
    <d v="2022-12-13T00:00:00"/>
    <n v="1"/>
    <n v="0"/>
    <n v="1"/>
    <s v="COP"/>
    <s v="3009"/>
    <s v="CO41001"/>
    <m/>
    <n v="47567101"/>
    <s v="Mantenimiento"/>
    <n v="41756150"/>
    <x v="2"/>
    <m/>
    <m/>
    <m/>
    <m/>
  </r>
  <r>
    <x v="427"/>
    <s v="0"/>
    <x v="360"/>
    <d v="2023-02-01T00:00:00"/>
    <n v="9100000"/>
    <n v="-2951890"/>
    <n v="6148110"/>
    <s v="COP"/>
    <s v="3009"/>
    <s v="CO41001"/>
    <m/>
    <n v="47544021"/>
    <s v="Devanados Seco DT, MF y MDF"/>
    <n v="41754150"/>
    <x v="31"/>
    <m/>
    <m/>
    <m/>
    <m/>
  </r>
  <r>
    <x v="428"/>
    <s v="0"/>
    <x v="361"/>
    <d v="2023-02-01T00:00:00"/>
    <n v="2940000"/>
    <n v="-953688"/>
    <n v="1986312"/>
    <s v="COP"/>
    <s v="3009"/>
    <s v="CO41001"/>
    <m/>
    <n v="47544021"/>
    <s v="Devanados Seco DT, MF y MDF"/>
    <n v="41754150"/>
    <x v="31"/>
    <m/>
    <m/>
    <m/>
    <m/>
  </r>
  <r>
    <x v="429"/>
    <s v="0"/>
    <x v="362"/>
    <d v="2023-02-24T00:00:00"/>
    <n v="4820561"/>
    <n v="-3066668"/>
    <n v="1753893"/>
    <s v="COP"/>
    <s v="3009"/>
    <s v="CO52001"/>
    <m/>
    <n v="47567015"/>
    <s v="Almacén"/>
    <n v="41756150"/>
    <x v="0"/>
    <m/>
    <m/>
    <m/>
    <m/>
  </r>
  <r>
    <x v="430"/>
    <s v="0"/>
    <x v="362"/>
    <d v="2023-02-24T00:00:00"/>
    <n v="4820561"/>
    <n v="-3066668"/>
    <n v="1753893"/>
    <s v="COP"/>
    <s v="3009"/>
    <s v="CO52001"/>
    <m/>
    <n v="47567015"/>
    <s v="Almacén"/>
    <n v="41756150"/>
    <x v="0"/>
    <m/>
    <m/>
    <m/>
    <m/>
  </r>
  <r>
    <x v="431"/>
    <s v="0"/>
    <x v="363"/>
    <d v="2023-02-23T00:00:00"/>
    <n v="2612437"/>
    <n v="-1663370"/>
    <n v="949067"/>
    <s v="COP"/>
    <s v="3009"/>
    <s v="CO52001"/>
    <m/>
    <n v="47500021"/>
    <s v="Recursos Humanos "/>
    <n v="41750150"/>
    <x v="5"/>
    <m/>
    <m/>
    <m/>
    <m/>
  </r>
  <r>
    <x v="432"/>
    <s v="0"/>
    <x v="363"/>
    <d v="2023-02-23T00:00:00"/>
    <n v="2612437"/>
    <n v="-1663370"/>
    <n v="949067"/>
    <s v="COP"/>
    <s v="3009"/>
    <s v="CO52001"/>
    <m/>
    <n v="47567102"/>
    <s v="Processos"/>
    <n v="41756150"/>
    <x v="29"/>
    <m/>
    <m/>
    <m/>
    <m/>
  </r>
  <r>
    <x v="433"/>
    <s v="0"/>
    <x v="363"/>
    <d v="2023-02-23T00:00:00"/>
    <n v="2612437"/>
    <n v="-1663370"/>
    <n v="949067"/>
    <s v="COP"/>
    <s v="3009"/>
    <s v="CO52001"/>
    <m/>
    <n v="47567015"/>
    <s v="Almacén"/>
    <n v="41756150"/>
    <x v="0"/>
    <m/>
    <m/>
    <m/>
    <m/>
  </r>
  <r>
    <x v="434"/>
    <s v="0"/>
    <x v="364"/>
    <d v="2023-03-24T00:00:00"/>
    <n v="25074500"/>
    <n v="-7783399"/>
    <n v="17291101"/>
    <s v="COP"/>
    <s v="3009"/>
    <s v="CO41001"/>
    <m/>
    <n v="47544013"/>
    <s v="Esamble Tanques"/>
    <n v="41754150"/>
    <x v="23"/>
    <m/>
    <m/>
    <m/>
    <m/>
  </r>
  <r>
    <x v="435"/>
    <s v="0"/>
    <x v="364"/>
    <d v="2023-03-27T00:00:00"/>
    <n v="25074500"/>
    <n v="-7762790"/>
    <n v="17311710"/>
    <s v="COP"/>
    <s v="3009"/>
    <s v="CO41001"/>
    <m/>
    <n v="47544013"/>
    <s v="Esamble Tanques"/>
    <n v="41754150"/>
    <x v="23"/>
    <m/>
    <m/>
    <m/>
    <m/>
  </r>
  <r>
    <x v="436"/>
    <s v="0"/>
    <x v="365"/>
    <d v="2023-03-07T00:00:00"/>
    <n v="48000000"/>
    <n v="-15123287"/>
    <n v="32876713"/>
    <s v="COP"/>
    <s v="3009"/>
    <s v="CO41001"/>
    <m/>
    <n v="47544013"/>
    <s v="Esamble Tanques"/>
    <n v="41754150"/>
    <x v="2"/>
    <m/>
    <m/>
    <m/>
    <m/>
  </r>
  <r>
    <x v="437"/>
    <s v="0"/>
    <x v="366"/>
    <d v="2023-03-03T00:00:00"/>
    <n v="8500000"/>
    <n v="-2687397"/>
    <n v="5812603"/>
    <s v="COP"/>
    <s v="3009"/>
    <s v="CO41001"/>
    <m/>
    <n v="47567102"/>
    <s v="Processos"/>
    <n v="41756150"/>
    <x v="29"/>
    <m/>
    <m/>
    <m/>
    <m/>
  </r>
  <r>
    <x v="438"/>
    <s v="0"/>
    <x v="367"/>
    <d v="2023-03-03T00:00:00"/>
    <n v="15935500"/>
    <n v="-5038238"/>
    <n v="10897262"/>
    <s v="COP"/>
    <s v="3009"/>
    <s v="CO41001"/>
    <m/>
    <n v="47544019"/>
    <s v="Preparación de Aislamento"/>
    <n v="41754150"/>
    <x v="8"/>
    <m/>
    <m/>
    <m/>
    <m/>
  </r>
  <r>
    <x v="438"/>
    <s v="1"/>
    <x v="368"/>
    <d v="2023-03-27T00:00:00"/>
    <n v="4298280"/>
    <n v="-1330700"/>
    <n v="2967580"/>
    <s v="COP"/>
    <s v="3009"/>
    <s v="CO41001"/>
    <m/>
    <n v="47544019"/>
    <s v="Preparación de Aislamento"/>
    <n v="41754150"/>
    <x v="8"/>
    <m/>
    <m/>
    <m/>
    <m/>
  </r>
  <r>
    <x v="439"/>
    <s v="0"/>
    <x v="369"/>
    <d v="2023-03-13T00:00:00"/>
    <n v="7959840"/>
    <n v="-2494810"/>
    <n v="5465030"/>
    <s v="COP"/>
    <s v="3009"/>
    <s v="CO41001"/>
    <m/>
    <n v="47544034"/>
    <s v="Enhuacalado"/>
    <n v="41754150"/>
    <x v="8"/>
    <m/>
    <m/>
    <m/>
    <m/>
  </r>
  <r>
    <x v="439"/>
    <s v="1"/>
    <x v="370"/>
    <d v="2023-03-27T00:00:00"/>
    <n v="3986500"/>
    <n v="-1234177"/>
    <n v="2752323"/>
    <s v="COP"/>
    <s v="3009"/>
    <s v="CO41001"/>
    <m/>
    <n v="47544034"/>
    <s v="Enhuacalado"/>
    <n v="41754150"/>
    <x v="8"/>
    <m/>
    <m/>
    <m/>
    <m/>
  </r>
  <r>
    <x v="440"/>
    <s v="0"/>
    <x v="371"/>
    <d v="2023-03-09T00:00:00"/>
    <n v="38000000"/>
    <n v="-11951781"/>
    <n v="26048219"/>
    <s v="COP"/>
    <s v="3009"/>
    <s v="CO41001"/>
    <m/>
    <n v="47567101"/>
    <s v="Mantenimiento"/>
    <n v="41756150"/>
    <x v="28"/>
    <m/>
    <m/>
    <m/>
    <m/>
  </r>
  <r>
    <x v="441"/>
    <s v="0"/>
    <x v="372"/>
    <d v="2023-07-18T00:00:00"/>
    <n v="37730000"/>
    <n v="-10512715"/>
    <n v="27217285"/>
    <s v="COP"/>
    <s v="3009"/>
    <s v="CO43001"/>
    <m/>
    <n v="47544019"/>
    <s v="Preparación de Aislamento"/>
    <n v="41754150"/>
    <x v="8"/>
    <m/>
    <m/>
    <m/>
    <m/>
  </r>
  <r>
    <x v="442"/>
    <s v="0"/>
    <x v="373"/>
    <d v="2023-03-28T00:00:00"/>
    <n v="5806010"/>
    <n v="-3591773"/>
    <n v="2214237"/>
    <s v="COP"/>
    <s v="3009"/>
    <s v="CO52001"/>
    <m/>
    <n v="47544010"/>
    <s v="GER. PRODUCCIÓN"/>
    <n v="41754150"/>
    <x v="5"/>
    <m/>
    <m/>
    <m/>
    <m/>
  </r>
  <r>
    <x v="443"/>
    <s v="0"/>
    <x v="373"/>
    <d v="2023-03-28T00:00:00"/>
    <n v="5806010"/>
    <n v="-3591773"/>
    <n v="2214237"/>
    <s v="COP"/>
    <s v="3009"/>
    <s v="CO52001"/>
    <m/>
    <n v="47567060"/>
    <s v="GER. TECNICO"/>
    <n v="41756150"/>
    <x v="26"/>
    <m/>
    <m/>
    <m/>
    <m/>
  </r>
  <r>
    <x v="444"/>
    <s v="0"/>
    <x v="317"/>
    <d v="2023-12-19T00:00:00"/>
    <n v="32439717"/>
    <n v="-7666369"/>
    <n v="24773348"/>
    <s v="COP"/>
    <s v="3009"/>
    <s v="CO42001"/>
    <m/>
    <n v="47544021"/>
    <s v="Devanados Seco DT, MF y MDF"/>
    <n v="41754150"/>
    <x v="31"/>
    <m/>
    <m/>
    <m/>
    <m/>
  </r>
  <r>
    <x v="445"/>
    <s v="0"/>
    <x v="318"/>
    <d v="2023-12-19T00:00:00"/>
    <n v="36765012"/>
    <n v="-8688550"/>
    <n v="28076462"/>
    <s v="COP"/>
    <s v="3009"/>
    <s v="CO42001"/>
    <m/>
    <n v="47544021"/>
    <s v="Devanados Seco DT, MF y MDF"/>
    <n v="41754150"/>
    <x v="31"/>
    <m/>
    <m/>
    <m/>
    <m/>
  </r>
  <r>
    <x v="446"/>
    <s v="0"/>
    <x v="319"/>
    <d v="2023-12-19T00:00:00"/>
    <n v="51903506"/>
    <n v="-12266181"/>
    <n v="39637325"/>
    <s v="COP"/>
    <s v="3009"/>
    <s v="CO42001"/>
    <m/>
    <n v="47544021"/>
    <s v="Devanados Seco DT, MF y MDF"/>
    <n v="41754150"/>
    <x v="31"/>
    <m/>
    <m/>
    <m/>
    <m/>
  </r>
  <r>
    <x v="447"/>
    <s v="0"/>
    <x v="374"/>
    <d v="2023-12-19T00:00:00"/>
    <n v="73097445"/>
    <n v="-17274873"/>
    <n v="55822572"/>
    <s v="COP"/>
    <s v="3009"/>
    <s v="CO42001"/>
    <m/>
    <n v="47544021"/>
    <s v="Devanados Seco DT, MF y MDF"/>
    <n v="41754150"/>
    <x v="31"/>
    <m/>
    <m/>
    <m/>
    <m/>
  </r>
  <r>
    <x v="448"/>
    <s v="0"/>
    <x v="375"/>
    <d v="2023-03-31T00:00:00"/>
    <n v="4105500"/>
    <n v="-2533038"/>
    <n v="1572462"/>
    <s v="COP"/>
    <s v="3009"/>
    <s v="CO52001"/>
    <m/>
    <n v="47500021"/>
    <s v="Recursos Humanos "/>
    <n v="41750150"/>
    <x v="5"/>
    <m/>
    <m/>
    <m/>
    <m/>
  </r>
  <r>
    <x v="449"/>
    <s v="0"/>
    <x v="375"/>
    <d v="2023-03-31T00:00:00"/>
    <n v="4105500"/>
    <n v="-2533038"/>
    <n v="1572462"/>
    <s v="COP"/>
    <s v="3009"/>
    <s v="CO52001"/>
    <m/>
    <n v="47511022"/>
    <s v="Ventas Occidente"/>
    <n v="41751150"/>
    <x v="30"/>
    <m/>
    <m/>
    <m/>
    <m/>
  </r>
  <r>
    <x v="450"/>
    <s v="0"/>
    <x v="375"/>
    <d v="2023-03-31T00:00:00"/>
    <n v="4105500"/>
    <n v="-2533038"/>
    <n v="1572462"/>
    <s v="COP"/>
    <s v="3009"/>
    <s v="CO52001"/>
    <m/>
    <n v="47502021"/>
    <s v="Servicio Médico, Seguridad y Higiene"/>
    <n v="41750150"/>
    <x v="5"/>
    <m/>
    <m/>
    <m/>
    <m/>
  </r>
  <r>
    <x v="451"/>
    <s v="0"/>
    <x v="376"/>
    <d v="2023-04-17T00:00:00"/>
    <n v="3650694"/>
    <n v="-1109210"/>
    <n v="2541484"/>
    <s v="COP"/>
    <s v="3009"/>
    <s v="CO41001"/>
    <m/>
    <n v="47567101"/>
    <s v="Mantenimiento"/>
    <n v="41756150"/>
    <x v="28"/>
    <m/>
    <m/>
    <m/>
    <m/>
  </r>
  <r>
    <x v="452"/>
    <s v="0"/>
    <x v="377"/>
    <d v="2023-04-14T00:00:00"/>
    <n v="1630117"/>
    <n v="-1630117"/>
    <n v="0"/>
    <s v="COP"/>
    <s v="3009"/>
    <s v="CO99999"/>
    <m/>
    <n v="47502031"/>
    <s v="Compras"/>
    <n v="41750150"/>
    <x v="5"/>
    <m/>
    <m/>
    <m/>
    <m/>
  </r>
  <r>
    <x v="453"/>
    <s v="0"/>
    <x v="377"/>
    <d v="2023-04-14T00:00:00"/>
    <n v="1630117"/>
    <n v="-1630117"/>
    <n v="0"/>
    <s v="COP"/>
    <s v="3009"/>
    <s v="CO99999"/>
    <m/>
    <n v="47544010"/>
    <s v="GER. PRODUCCIÓN"/>
    <n v="41754150"/>
    <x v="5"/>
    <m/>
    <m/>
    <m/>
    <m/>
  </r>
  <r>
    <x v="454"/>
    <s v="0"/>
    <x v="377"/>
    <d v="2023-04-14T00:00:00"/>
    <n v="1630117"/>
    <n v="-1630117"/>
    <n v="0"/>
    <s v="COP"/>
    <s v="3009"/>
    <s v="CO99999"/>
    <m/>
    <n v="47500021"/>
    <s v="Recursos Humanos "/>
    <n v="41750150"/>
    <x v="5"/>
    <m/>
    <m/>
    <m/>
    <m/>
  </r>
  <r>
    <x v="455"/>
    <s v="0"/>
    <x v="378"/>
    <d v="2023-04-20T00:00:00"/>
    <n v="28629451"/>
    <n v="-17350231"/>
    <n v="11279220"/>
    <s v="COP"/>
    <s v="3009"/>
    <s v="CO47001"/>
    <m/>
    <n v="47544032"/>
    <s v="Laboratório Aceite, Encapasuldo y Seco &gt;300 kVA"/>
    <n v="41754150"/>
    <x v="3"/>
    <m/>
    <m/>
    <m/>
    <m/>
  </r>
  <r>
    <x v="456"/>
    <s v="0"/>
    <x v="379"/>
    <d v="2023-06-02T00:00:00"/>
    <n v="5684375"/>
    <n v="-1655478"/>
    <n v="4028897"/>
    <s v="COP"/>
    <s v="3009"/>
    <s v="CO51001"/>
    <m/>
    <n v="47500051"/>
    <s v="TI"/>
    <n v="41750150"/>
    <x v="5"/>
    <m/>
    <m/>
    <m/>
    <m/>
  </r>
  <r>
    <x v="457"/>
    <s v="0"/>
    <x v="380"/>
    <d v="2023-05-05T00:00:00"/>
    <n v="2605100"/>
    <n v="-778675"/>
    <n v="1826425"/>
    <s v="COP"/>
    <s v="3009"/>
    <s v="CO51001"/>
    <m/>
    <n v="47500021"/>
    <s v="Recursos Humanos "/>
    <n v="41750150"/>
    <x v="5"/>
    <m/>
    <m/>
    <m/>
    <m/>
  </r>
  <r>
    <x v="458"/>
    <s v="0"/>
    <x v="381"/>
    <d v="2023-06-26T00:00:00"/>
    <n v="33769244"/>
    <n v="-19225339"/>
    <n v="14543905"/>
    <s v="COP"/>
    <s v="3009"/>
    <s v="CO47001"/>
    <m/>
    <n v="47544032"/>
    <s v="Laboratório Aceite, Encapasuldo y Seco &gt;300 kVA"/>
    <n v="41754150"/>
    <x v="3"/>
    <m/>
    <m/>
    <m/>
    <m/>
  </r>
  <r>
    <x v="459"/>
    <s v="0"/>
    <x v="382"/>
    <d v="2023-05-02T00:00:00"/>
    <n v="6088941"/>
    <n v="-3650028"/>
    <n v="2438913"/>
    <s v="COP"/>
    <s v="3009"/>
    <s v="CO47001"/>
    <m/>
    <n v="47544032"/>
    <s v="Laboratório Aceite, Encapasuldo y Seco &gt;300 kVA"/>
    <n v="41754150"/>
    <x v="3"/>
    <m/>
    <m/>
    <m/>
    <m/>
  </r>
  <r>
    <x v="460"/>
    <s v="0"/>
    <x v="383"/>
    <d v="2023-05-02T00:00:00"/>
    <n v="6088941"/>
    <n v="-3650028"/>
    <n v="2438913"/>
    <s v="COP"/>
    <s v="3009"/>
    <s v="CO47001"/>
    <m/>
    <n v="47544032"/>
    <s v="Laboratório Aceite, Encapasuldo y Seco &gt;300 kVA"/>
    <n v="41754150"/>
    <x v="3"/>
    <m/>
    <m/>
    <m/>
    <m/>
  </r>
  <r>
    <x v="461"/>
    <s v="0"/>
    <x v="384"/>
    <d v="2023-09-01T00:00:00"/>
    <n v="10115000"/>
    <n v="-2693638"/>
    <n v="7421362"/>
    <s v="COP"/>
    <s v="3009"/>
    <s v="CO41001"/>
    <m/>
    <n v="47544025"/>
    <s v="Encubado"/>
    <n v="41754150"/>
    <x v="33"/>
    <m/>
    <m/>
    <m/>
    <m/>
  </r>
  <r>
    <x v="462"/>
    <s v="0"/>
    <x v="384"/>
    <d v="2023-08-01T00:00:00"/>
    <n v="10115000"/>
    <n v="-2779547"/>
    <n v="7335453"/>
    <s v="COP"/>
    <s v="3009"/>
    <s v="CO41001"/>
    <m/>
    <n v="47544013"/>
    <s v="Esamble Tanques"/>
    <n v="41754150"/>
    <x v="16"/>
    <m/>
    <m/>
    <m/>
    <m/>
  </r>
  <r>
    <x v="463"/>
    <s v="0"/>
    <x v="384"/>
    <d v="2023-07-26T00:00:00"/>
    <n v="10115000"/>
    <n v="-2796174"/>
    <n v="7318826"/>
    <s v="COP"/>
    <s v="3009"/>
    <s v="CO41001"/>
    <m/>
    <n v="47544013"/>
    <s v="Esamble Tanques"/>
    <n v="41754150"/>
    <x v="16"/>
    <m/>
    <m/>
    <m/>
    <m/>
  </r>
  <r>
    <x v="464"/>
    <s v="0"/>
    <x v="385"/>
    <d v="2023-06-14T00:00:00"/>
    <n v="14432437"/>
    <n v="-8311501"/>
    <n v="6120936"/>
    <s v="COP"/>
    <s v="3009"/>
    <s v="CO47001"/>
    <m/>
    <n v="47567064"/>
    <s v="Pruebas"/>
    <n v="41756150"/>
    <x v="3"/>
    <m/>
    <m/>
    <m/>
    <m/>
  </r>
  <r>
    <x v="465"/>
    <s v="0"/>
    <x v="386"/>
    <d v="2023-05-15T00:00:00"/>
    <n v="3081774"/>
    <n v="-1825424"/>
    <n v="1256350"/>
    <s v="COP"/>
    <s v="3009"/>
    <s v="CO47001"/>
    <m/>
    <n v="47544032"/>
    <s v="Laboratório Aceite, Encapasuldo y Seco &gt;300 kVA"/>
    <n v="41754150"/>
    <x v="3"/>
    <m/>
    <m/>
    <m/>
    <m/>
  </r>
  <r>
    <x v="466"/>
    <s v="0"/>
    <x v="386"/>
    <d v="2023-05-15T00:00:00"/>
    <n v="3081774"/>
    <n v="-1825424"/>
    <n v="1256350"/>
    <s v="COP"/>
    <s v="3009"/>
    <s v="CO47001"/>
    <m/>
    <n v="47544032"/>
    <s v="Laboratório Aceite, Encapasuldo y Seco &gt;300 kVA"/>
    <n v="41754150"/>
    <x v="3"/>
    <m/>
    <m/>
    <m/>
    <m/>
  </r>
  <r>
    <x v="467"/>
    <s v="0"/>
    <x v="386"/>
    <d v="2023-05-15T00:00:00"/>
    <n v="3081774"/>
    <n v="-1825424"/>
    <n v="1256350"/>
    <s v="COP"/>
    <s v="3009"/>
    <s v="CO47001"/>
    <m/>
    <n v="47544032"/>
    <s v="Laboratório Aceite, Encapasuldo y Seco &gt;300 kVA"/>
    <n v="41754150"/>
    <x v="3"/>
    <m/>
    <m/>
    <m/>
    <m/>
  </r>
  <r>
    <x v="468"/>
    <s v="0"/>
    <x v="387"/>
    <d v="2023-05-29T00:00:00"/>
    <n v="4229629"/>
    <n v="-2472885"/>
    <n v="1756744"/>
    <s v="COP"/>
    <s v="3009"/>
    <s v="CO52001"/>
    <m/>
    <n v="47567081"/>
    <s v="Calidad"/>
    <n v="41756150"/>
    <x v="27"/>
    <m/>
    <m/>
    <m/>
    <m/>
  </r>
  <r>
    <x v="469"/>
    <s v="0"/>
    <x v="387"/>
    <d v="2023-05-29T00:00:00"/>
    <n v="4229629"/>
    <n v="-2472885"/>
    <n v="1756744"/>
    <s v="COP"/>
    <s v="3009"/>
    <s v="CO52001"/>
    <m/>
    <n v="47567081"/>
    <s v="Calidad"/>
    <n v="41756150"/>
    <x v="27"/>
    <m/>
    <m/>
    <m/>
    <m/>
  </r>
  <r>
    <x v="470"/>
    <s v="0"/>
    <x v="387"/>
    <d v="2023-05-29T00:00:00"/>
    <n v="4229629"/>
    <n v="-2472885"/>
    <n v="1756744"/>
    <s v="COP"/>
    <s v="3009"/>
    <s v="CO52001"/>
    <m/>
    <n v="47567081"/>
    <s v="Calidad"/>
    <n v="41756150"/>
    <x v="27"/>
    <m/>
    <m/>
    <m/>
    <m/>
  </r>
  <r>
    <x v="471"/>
    <s v="0"/>
    <x v="388"/>
    <d v="2023-06-15T00:00:00"/>
    <n v="3254114"/>
    <n v="-936115"/>
    <n v="2317999"/>
    <s v="COP"/>
    <s v="3009"/>
    <s v="CO41001"/>
    <m/>
    <n v="47544019"/>
    <s v="Preparación de Aislamento"/>
    <n v="41754150"/>
    <x v="32"/>
    <m/>
    <m/>
    <m/>
    <m/>
  </r>
  <r>
    <x v="472"/>
    <s v="0"/>
    <x v="389"/>
    <d v="2023-06-15T00:00:00"/>
    <n v="2567581"/>
    <n v="-738619"/>
    <n v="1828962"/>
    <s v="COP"/>
    <s v="3009"/>
    <s v="CO41001"/>
    <m/>
    <n v="47544024"/>
    <s v="Ensamble Parte Activa &gt;300 KVA"/>
    <n v="41754150"/>
    <x v="15"/>
    <m/>
    <m/>
    <m/>
    <m/>
  </r>
  <r>
    <x v="473"/>
    <s v="0"/>
    <x v="390"/>
    <d v="2023-06-16T00:00:00"/>
    <n v="3450000"/>
    <n v="-1983041"/>
    <n v="1466959"/>
    <s v="COP"/>
    <s v="3009"/>
    <s v="CO52001"/>
    <m/>
    <n v="47567015"/>
    <s v="Almacén"/>
    <n v="41756150"/>
    <x v="0"/>
    <m/>
    <m/>
    <m/>
    <m/>
  </r>
  <r>
    <x v="474"/>
    <s v="0"/>
    <x v="391"/>
    <d v="2023-06-16T00:00:00"/>
    <n v="2990000"/>
    <n v="-1718636"/>
    <n v="1271364"/>
    <s v="COP"/>
    <s v="3009"/>
    <s v="CO52001"/>
    <m/>
    <n v="47567061"/>
    <s v="Diseno Transformadores Secos y Aceite"/>
    <n v="41756150"/>
    <x v="26"/>
    <m/>
    <m/>
    <m/>
    <m/>
  </r>
  <r>
    <x v="475"/>
    <s v="0"/>
    <x v="391"/>
    <d v="2023-06-16T00:00:00"/>
    <n v="2990000"/>
    <n v="-1718636"/>
    <n v="1271364"/>
    <s v="COP"/>
    <s v="3009"/>
    <s v="CO52001"/>
    <m/>
    <n v="47567061"/>
    <s v="Diseno Transformadores Secos y Aceite"/>
    <n v="41756150"/>
    <x v="26"/>
    <m/>
    <m/>
    <m/>
    <m/>
  </r>
  <r>
    <x v="476"/>
    <s v="0"/>
    <x v="392"/>
    <d v="2023-06-27T00:00:00"/>
    <n v="2619000"/>
    <n v="-1489601"/>
    <n v="1129399"/>
    <s v="COP"/>
    <s v="3009"/>
    <s v="CO52001"/>
    <m/>
    <n v="47567015"/>
    <s v="Almacén"/>
    <n v="41756150"/>
    <x v="0"/>
    <m/>
    <m/>
    <m/>
    <m/>
  </r>
  <r>
    <x v="477"/>
    <s v="0"/>
    <x v="393"/>
    <d v="2023-07-13T00:00:00"/>
    <n v="3735410"/>
    <n v="-2091830"/>
    <n v="1643580"/>
    <s v="COP"/>
    <s v="3009"/>
    <s v="CO52001"/>
    <m/>
    <n v="47567041"/>
    <s v="Planificación de la Producción y Control"/>
    <n v="41756150"/>
    <x v="25"/>
    <m/>
    <m/>
    <m/>
    <m/>
  </r>
  <r>
    <x v="478"/>
    <s v="0"/>
    <x v="393"/>
    <d v="2023-07-13T00:00:00"/>
    <n v="3735410"/>
    <n v="-2091830"/>
    <n v="1643580"/>
    <s v="COP"/>
    <s v="3009"/>
    <s v="CO52001"/>
    <m/>
    <n v="47567041"/>
    <s v="Planificación de la Producción y Control"/>
    <n v="41756150"/>
    <x v="25"/>
    <m/>
    <m/>
    <m/>
    <m/>
  </r>
  <r>
    <x v="479"/>
    <s v="0"/>
    <x v="393"/>
    <d v="2023-07-13T00:00:00"/>
    <n v="3735410"/>
    <n v="-2091830"/>
    <n v="1643580"/>
    <s v="COP"/>
    <s v="3009"/>
    <s v="CO52001"/>
    <m/>
    <n v="47567041"/>
    <s v="Planificación de la Producción y Control"/>
    <n v="41756150"/>
    <x v="25"/>
    <m/>
    <m/>
    <m/>
    <m/>
  </r>
  <r>
    <x v="480"/>
    <s v="0"/>
    <x v="393"/>
    <d v="2023-07-14T00:00:00"/>
    <n v="3139000"/>
    <n v="-1756120"/>
    <n v="1382880"/>
    <s v="COP"/>
    <s v="3009"/>
    <s v="CO52001"/>
    <m/>
    <n v="97411081"/>
    <s v="Ventas Solar"/>
    <n v="32741130"/>
    <x v="34"/>
    <m/>
    <m/>
    <m/>
    <m/>
  </r>
  <r>
    <x v="481"/>
    <s v="0"/>
    <x v="394"/>
    <d v="2023-07-25T00:00:00"/>
    <n v="2656080"/>
    <n v="-734970"/>
    <n v="1921110"/>
    <s v="COP"/>
    <s v="3009"/>
    <s v="CO51001"/>
    <m/>
    <n v="47567102"/>
    <s v="Processos"/>
    <n v="41756150"/>
    <x v="29"/>
    <m/>
    <m/>
    <m/>
    <m/>
  </r>
  <r>
    <x v="482"/>
    <s v="0"/>
    <x v="395"/>
    <d v="2023-07-31T00:00:00"/>
    <n v="3735410"/>
    <n v="-2054987"/>
    <n v="1680423"/>
    <s v="COP"/>
    <s v="3009"/>
    <s v="CO52001"/>
    <m/>
    <n v="47544010"/>
    <s v="GER. PRODUCCIÓN"/>
    <n v="41754150"/>
    <x v="5"/>
    <m/>
    <m/>
    <m/>
    <m/>
  </r>
  <r>
    <x v="483"/>
    <s v="0"/>
    <x v="396"/>
    <d v="2023-08-29T00:00:00"/>
    <n v="12947200"/>
    <n v="-3458498"/>
    <n v="9488702"/>
    <s v="COP"/>
    <s v="3009"/>
    <s v="CO42001"/>
    <m/>
    <n v="47544021"/>
    <s v="Devanados Seco DT, MF y MDF"/>
    <n v="41754150"/>
    <x v="31"/>
    <m/>
    <m/>
    <m/>
    <m/>
  </r>
  <r>
    <x v="484"/>
    <s v="0"/>
    <x v="397"/>
    <d v="2023-08-09T00:00:00"/>
    <n v="5462185"/>
    <n v="-1489008"/>
    <n v="3973177"/>
    <s v="COP"/>
    <s v="3009"/>
    <s v="CO41001"/>
    <m/>
    <n v="47544019"/>
    <s v="Preparación de Aislamento"/>
    <n v="41754150"/>
    <x v="8"/>
    <m/>
    <m/>
    <m/>
    <m/>
  </r>
  <r>
    <x v="485"/>
    <s v="0"/>
    <x v="398"/>
    <d v="2023-08-16T00:00:00"/>
    <n v="4899230"/>
    <n v="-2652295"/>
    <n v="2246935"/>
    <s v="COP"/>
    <s v="3009"/>
    <s v="CO46001"/>
    <m/>
    <n v="47544024"/>
    <s v="Ensamble Parte Activa &gt;300 KVA"/>
    <n v="41754150"/>
    <x v="2"/>
    <m/>
    <m/>
    <m/>
    <m/>
  </r>
  <r>
    <x v="486"/>
    <s v="0"/>
    <x v="388"/>
    <d v="2023-08-11T00:00:00"/>
    <n v="3554114"/>
    <n v="-966913"/>
    <n v="2587201"/>
    <s v="COP"/>
    <s v="3009"/>
    <s v="CO41001"/>
    <m/>
    <n v="47544019"/>
    <s v="Preparación de Aislamento"/>
    <n v="41754150"/>
    <x v="32"/>
    <m/>
    <m/>
    <m/>
    <m/>
  </r>
  <r>
    <x v="486"/>
    <s v="1"/>
    <x v="399"/>
    <d v="2023-09-06T00:00:00"/>
    <n v="2618000"/>
    <n v="-693590"/>
    <n v="1924410"/>
    <s v="COP"/>
    <s v="3009"/>
    <s v="CO41001"/>
    <m/>
    <n v="47544019"/>
    <s v="Preparación de Aislamento"/>
    <n v="41754150"/>
    <x v="32"/>
    <m/>
    <m/>
    <m/>
    <m/>
  </r>
  <r>
    <x v="487"/>
    <s v="0"/>
    <x v="400"/>
    <d v="2023-09-12T00:00:00"/>
    <n v="4246396"/>
    <n v="-1118025"/>
    <n v="3128371"/>
    <s v="COP"/>
    <s v="3009"/>
    <s v="CO51001"/>
    <m/>
    <n v="47567101"/>
    <s v="Mantenimiento"/>
    <n v="41756150"/>
    <x v="28"/>
    <m/>
    <m/>
    <m/>
    <m/>
  </r>
  <r>
    <x v="488"/>
    <s v="0"/>
    <x v="401"/>
    <d v="2023-08-25T00:00:00"/>
    <n v="6658409"/>
    <n v="-3571826"/>
    <n v="3086583"/>
    <s v="COP"/>
    <s v="3009"/>
    <s v="CO52001"/>
    <m/>
    <n v="47567063"/>
    <s v="Diseno Mecanico"/>
    <n v="41756150"/>
    <x v="26"/>
    <m/>
    <m/>
    <m/>
    <m/>
  </r>
  <r>
    <x v="489"/>
    <s v="0"/>
    <x v="402"/>
    <d v="2023-09-05T00:00:00"/>
    <n v="4021099"/>
    <n v="-1066418"/>
    <n v="2954681"/>
    <s v="COP"/>
    <s v="3009"/>
    <s v="CO41001"/>
    <m/>
    <n v="47544017"/>
    <s v="Preparación Encapsulados"/>
    <n v="41754150"/>
    <x v="7"/>
    <m/>
    <m/>
    <m/>
    <m/>
  </r>
  <r>
    <x v="490"/>
    <s v="0"/>
    <x v="403"/>
    <d v="2023-09-04T00:00:00"/>
    <n v="52379884"/>
    <n v="-13905782"/>
    <n v="38474102"/>
    <s v="COP"/>
    <s v="3009"/>
    <s v="CO41001"/>
    <m/>
    <n v="47544013"/>
    <s v="Esamble Tanques"/>
    <n v="41754150"/>
    <x v="35"/>
    <m/>
    <m/>
    <m/>
    <m/>
  </r>
  <r>
    <x v="491"/>
    <s v="0"/>
    <x v="404"/>
    <d v="2023-09-25T00:00:00"/>
    <n v="3749350"/>
    <n v="-973803"/>
    <n v="2775547"/>
    <s v="COP"/>
    <s v="3009"/>
    <s v="CO41001"/>
    <m/>
    <n v="47567101"/>
    <s v="Mantenimiento"/>
    <n v="41756150"/>
    <x v="28"/>
    <m/>
    <m/>
    <m/>
    <m/>
  </r>
  <r>
    <x v="492"/>
    <s v="0"/>
    <x v="405"/>
    <d v="2023-10-02T00:00:00"/>
    <n v="4427990"/>
    <n v="-2283145"/>
    <n v="2144845"/>
    <s v="COP"/>
    <s v="3009"/>
    <s v="CO52001"/>
    <m/>
    <n v="47502031"/>
    <s v="Compras"/>
    <n v="41750150"/>
    <x v="5"/>
    <m/>
    <m/>
    <m/>
    <m/>
  </r>
  <r>
    <x v="493"/>
    <s v="0"/>
    <x v="406"/>
    <d v="2024-11-25T00:00:00"/>
    <n v="6829238"/>
    <n v="-973036"/>
    <n v="5856202"/>
    <s v="COP"/>
    <s v="3009"/>
    <s v="CO42001"/>
    <m/>
    <n v="47544024"/>
    <s v="Ensamble Parte Activa &gt;300 KVA"/>
    <n v="41754150"/>
    <x v="15"/>
    <m/>
    <m/>
    <m/>
    <m/>
  </r>
  <r>
    <x v="494"/>
    <s v="0"/>
    <x v="407"/>
    <d v="2024-11-25T00:00:00"/>
    <n v="7297819"/>
    <n v="-1039799"/>
    <n v="6258020"/>
    <s v="COP"/>
    <s v="3009"/>
    <s v="CO42001"/>
    <m/>
    <n v="47544024"/>
    <s v="Ensamble Parte Activa &gt;300 KVA"/>
    <n v="41754150"/>
    <x v="15"/>
    <m/>
    <m/>
    <m/>
    <m/>
  </r>
  <r>
    <x v="495"/>
    <s v="0"/>
    <x v="408"/>
    <d v="2024-11-25T00:00:00"/>
    <n v="5931969"/>
    <n v="-845193"/>
    <n v="5086776"/>
    <s v="COP"/>
    <s v="3009"/>
    <s v="CO42001"/>
    <m/>
    <n v="47544024"/>
    <s v="Ensamble Parte Activa &gt;300 KVA"/>
    <n v="41754150"/>
    <x v="15"/>
    <m/>
    <m/>
    <m/>
    <m/>
  </r>
  <r>
    <x v="496"/>
    <s v="0"/>
    <x v="409"/>
    <d v="2023-10-03T00:00:00"/>
    <n v="94555090"/>
    <n v="-24351173"/>
    <n v="70203917"/>
    <s v="COP"/>
    <s v="3009"/>
    <s v="CO41001"/>
    <m/>
    <n v="47544021"/>
    <s v="Devanados Seco DT, MF y MDF"/>
    <n v="41754150"/>
    <x v="22"/>
    <m/>
    <m/>
    <m/>
    <m/>
  </r>
  <r>
    <x v="497"/>
    <s v="0"/>
    <x v="410"/>
    <d v="2023-11-14T00:00:00"/>
    <n v="3149900"/>
    <n v="-1549924"/>
    <n v="1599976"/>
    <s v="COP"/>
    <s v="3009"/>
    <s v="CO52001"/>
    <m/>
    <n v="47567102"/>
    <s v="Processos"/>
    <n v="41756150"/>
    <x v="29"/>
    <m/>
    <m/>
    <m/>
    <m/>
  </r>
  <r>
    <x v="498"/>
    <s v="0"/>
    <x v="411"/>
    <d v="2023-11-01T00:00:00"/>
    <n v="50000000"/>
    <n v="-50000000"/>
    <n v="0"/>
    <s v="COP"/>
    <s v="3009"/>
    <s v="CO41001"/>
    <m/>
    <n v="47544034"/>
    <s v="Enhuacalado"/>
    <n v="41754150"/>
    <x v="22"/>
    <m/>
    <m/>
    <m/>
    <m/>
  </r>
  <r>
    <x v="499"/>
    <s v="0"/>
    <x v="412"/>
    <d v="2024-05-08T00:00:00"/>
    <n v="27727000"/>
    <n v="-10974570"/>
    <n v="16752430"/>
    <s v="COP"/>
    <s v="3009"/>
    <s v="CO47001"/>
    <m/>
    <n v="47544032"/>
    <s v="Laboratório Aceite, Encapasuldo y Seco &gt;300 kVA"/>
    <n v="41754150"/>
    <x v="3"/>
    <m/>
    <m/>
    <m/>
    <m/>
  </r>
  <r>
    <x v="500"/>
    <s v="0"/>
    <x v="413"/>
    <d v="2023-12-06T00:00:00"/>
    <n v="79176650"/>
    <n v="-18801632"/>
    <n v="60375018"/>
    <s v="COP"/>
    <s v="3009"/>
    <s v="CO41001"/>
    <m/>
    <n v="47544024"/>
    <s v="Ensamble Parte Activa &gt;300 KVA"/>
    <n v="41754150"/>
    <x v="4"/>
    <m/>
    <m/>
    <m/>
    <m/>
  </r>
  <r>
    <x v="501"/>
    <s v="0"/>
    <x v="414"/>
    <d v="2024-02-27T00:00:00"/>
    <n v="8900000"/>
    <n v="-1933996"/>
    <n v="6966004"/>
    <s v="COP"/>
    <s v="3009"/>
    <s v="CO42001"/>
    <m/>
    <n v="47544024"/>
    <s v="Ensamble Parte Activa &gt;300 KVA"/>
    <n v="41754150"/>
    <x v="36"/>
    <m/>
    <m/>
    <m/>
    <m/>
  </r>
  <r>
    <x v="502"/>
    <s v="0"/>
    <x v="415"/>
    <d v="2024-01-15T00:00:00"/>
    <n v="3150000"/>
    <n v="-1443025"/>
    <n v="1706975"/>
    <s v="COP"/>
    <s v="3009"/>
    <s v="CO52001"/>
    <m/>
    <n v="47511046"/>
    <s v="Administracion de Contractos"/>
    <n v="41751150"/>
    <x v="30"/>
    <m/>
    <m/>
    <m/>
    <m/>
  </r>
  <r>
    <x v="503"/>
    <s v="0"/>
    <x v="416"/>
    <d v="2024-02-22T00:00:00"/>
    <n v="10115000"/>
    <n v="-2211838"/>
    <n v="7903162"/>
    <s v="COP"/>
    <s v="3009"/>
    <s v="CO41001"/>
    <m/>
    <n v="47544013"/>
    <s v="Esamble Tanques"/>
    <n v="41754150"/>
    <x v="23"/>
    <m/>
    <m/>
    <m/>
    <m/>
  </r>
  <r>
    <x v="504"/>
    <s v="0"/>
    <x v="417"/>
    <d v="2024-04-09T00:00:00"/>
    <n v="15948490"/>
    <n v="-3282638"/>
    <n v="12665852"/>
    <s v="COP"/>
    <s v="3009"/>
    <s v="CO42001"/>
    <m/>
    <n v="47544024"/>
    <s v="Ensamble Parte Activa &gt;300 KVA"/>
    <n v="41754150"/>
    <x v="15"/>
    <m/>
    <m/>
    <m/>
    <m/>
  </r>
  <r>
    <x v="505"/>
    <s v="0"/>
    <x v="418"/>
    <d v="2024-04-15T00:00:00"/>
    <n v="14981560"/>
    <n v="-6118115"/>
    <n v="8863445"/>
    <s v="COP"/>
    <s v="3009"/>
    <s v="CO47001"/>
    <m/>
    <n v="47544032"/>
    <s v="Laboratório Aceite, Encapasuldo y Seco &gt;300 kVA"/>
    <n v="41754150"/>
    <x v="3"/>
    <m/>
    <m/>
    <m/>
    <m/>
  </r>
  <r>
    <x v="506"/>
    <s v="0"/>
    <x v="419"/>
    <d v="2024-03-13T00:00:00"/>
    <n v="9102667"/>
    <n v="-3881461"/>
    <n v="5221206"/>
    <s v="COP"/>
    <s v="3009"/>
    <s v="CO47001"/>
    <m/>
    <n v="47544032"/>
    <s v="Laboratório Aceite, Encapasuldo y Seco &gt;300 kVA"/>
    <n v="41754150"/>
    <x v="3"/>
    <m/>
    <m/>
    <m/>
    <m/>
  </r>
  <r>
    <x v="507"/>
    <s v="0"/>
    <x v="420"/>
    <d v="2024-02-23T00:00:00"/>
    <n v="51869155"/>
    <n v="-11328008"/>
    <n v="40541147"/>
    <s v="COP"/>
    <s v="3009"/>
    <s v="CO41001"/>
    <m/>
    <n v="47544013"/>
    <s v="Esamble Tanques"/>
    <n v="41754150"/>
    <x v="2"/>
    <m/>
    <m/>
    <m/>
    <m/>
  </r>
  <r>
    <x v="508"/>
    <s v="0"/>
    <x v="420"/>
    <d v="2024-02-23T00:00:00"/>
    <n v="51869155"/>
    <n v="-11328008"/>
    <n v="40541147"/>
    <s v="COP"/>
    <s v="3009"/>
    <s v="CO41001"/>
    <m/>
    <n v="47544013"/>
    <s v="Esamble Tanques"/>
    <n v="41754150"/>
    <x v="2"/>
    <m/>
    <m/>
    <m/>
    <m/>
  </r>
  <r>
    <x v="509"/>
    <s v="0"/>
    <x v="421"/>
    <d v="2024-02-27T00:00:00"/>
    <n v="3567501"/>
    <n v="-1550456"/>
    <n v="2017045"/>
    <s v="COP"/>
    <s v="3009"/>
    <s v="CO52001"/>
    <m/>
    <n v="47544010"/>
    <s v="GER. PRODUCCIÓN"/>
    <n v="41754150"/>
    <x v="5"/>
    <m/>
    <m/>
    <m/>
    <m/>
  </r>
  <r>
    <x v="510"/>
    <s v="0"/>
    <x v="422"/>
    <d v="2024-02-27T00:00:00"/>
    <n v="3567501"/>
    <n v="-1550456"/>
    <n v="2017045"/>
    <s v="COP"/>
    <s v="3009"/>
    <s v="CO52001"/>
    <m/>
    <n v="47567081"/>
    <s v="Calidad"/>
    <n v="41756150"/>
    <x v="27"/>
    <m/>
    <m/>
    <m/>
    <m/>
  </r>
  <r>
    <x v="511"/>
    <s v="0"/>
    <x v="423"/>
    <d v="2024-02-27T00:00:00"/>
    <n v="3567501"/>
    <n v="-1550456"/>
    <n v="2017045"/>
    <s v="COP"/>
    <s v="3009"/>
    <s v="CO52001"/>
    <m/>
    <n v="47567081"/>
    <s v="Calidad"/>
    <n v="41756150"/>
    <x v="27"/>
    <m/>
    <m/>
    <m/>
    <m/>
  </r>
  <r>
    <x v="512"/>
    <s v="0"/>
    <x v="424"/>
    <d v="2024-02-27T00:00:00"/>
    <n v="3567501"/>
    <n v="-1550456"/>
    <n v="2017045"/>
    <s v="COP"/>
    <s v="3009"/>
    <s v="CO52001"/>
    <m/>
    <n v="47511045"/>
    <s v="Assistencia Técnica"/>
    <n v="41751150"/>
    <x v="30"/>
    <m/>
    <m/>
    <m/>
    <m/>
  </r>
  <r>
    <x v="513"/>
    <s v="0"/>
    <x v="425"/>
    <d v="2024-04-24T00:00:00"/>
    <n v="4934930"/>
    <n v="-4934930"/>
    <n v="0"/>
    <s v="COP"/>
    <s v="3009"/>
    <s v="CO99999"/>
    <m/>
    <n v="47544018"/>
    <s v="Devanados Encapsulados"/>
    <n v="41754150"/>
    <x v="7"/>
    <m/>
    <m/>
    <m/>
    <m/>
  </r>
  <r>
    <x v="514"/>
    <s v="0"/>
    <x v="426"/>
    <d v="2024-03-22T00:00:00"/>
    <n v="24965010"/>
    <n v="-5261265"/>
    <n v="19703745"/>
    <s v="COP"/>
    <s v="3009"/>
    <s v="CO41001"/>
    <m/>
    <n v="47544024"/>
    <s v="Ensamble Parte Activa &gt;300 KVA"/>
    <n v="41754150"/>
    <x v="20"/>
    <m/>
    <m/>
    <m/>
    <m/>
  </r>
  <r>
    <x v="515"/>
    <s v="0"/>
    <x v="427"/>
    <d v="2024-03-15T00:00:00"/>
    <n v="8925000"/>
    <n v="-8925000"/>
    <n v="0"/>
    <s v="COP"/>
    <s v="3009"/>
    <s v="CO99999"/>
    <m/>
    <n v="47544024"/>
    <s v="Ensamble Parte Activa &gt;300 KVA"/>
    <n v="41754150"/>
    <x v="20"/>
    <m/>
    <m/>
    <m/>
    <m/>
  </r>
  <r>
    <x v="516"/>
    <s v="0"/>
    <x v="428"/>
    <d v="2024-03-21T00:00:00"/>
    <n v="6675900"/>
    <n v="-2817480"/>
    <n v="3858420"/>
    <s v="COP"/>
    <s v="3009"/>
    <s v="CO47001"/>
    <m/>
    <n v="47567064"/>
    <s v="Pruebas"/>
    <n v="41756150"/>
    <x v="3"/>
    <m/>
    <m/>
    <m/>
    <m/>
  </r>
  <r>
    <x v="517"/>
    <s v="0"/>
    <x v="428"/>
    <d v="2024-03-21T00:00:00"/>
    <n v="6675900"/>
    <n v="-2817480"/>
    <n v="3858420"/>
    <s v="COP"/>
    <s v="3009"/>
    <s v="CO47001"/>
    <m/>
    <n v="47567064"/>
    <s v="Pruebas"/>
    <n v="41756150"/>
    <x v="3"/>
    <m/>
    <m/>
    <m/>
    <m/>
  </r>
  <r>
    <x v="518"/>
    <s v="0"/>
    <x v="429"/>
    <d v="2024-04-01T00:00:00"/>
    <n v="3567501"/>
    <n v="-1484175"/>
    <n v="2083326"/>
    <s v="COP"/>
    <s v="3009"/>
    <s v="CO52001"/>
    <m/>
    <n v="47567102"/>
    <s v="Processos"/>
    <n v="41756150"/>
    <x v="29"/>
    <m/>
    <m/>
    <m/>
    <m/>
  </r>
  <r>
    <x v="519"/>
    <s v="0"/>
    <x v="429"/>
    <d v="2024-04-01T00:00:00"/>
    <n v="3567501"/>
    <n v="-1484175"/>
    <n v="2083326"/>
    <s v="COP"/>
    <s v="3009"/>
    <s v="CO52001"/>
    <m/>
    <n v="47500021"/>
    <s v="Recursos Humanos "/>
    <n v="41750150"/>
    <x v="5"/>
    <m/>
    <m/>
    <m/>
    <m/>
  </r>
  <r>
    <x v="520"/>
    <s v="0"/>
    <x v="429"/>
    <d v="2024-04-01T00:00:00"/>
    <n v="3567501"/>
    <n v="-1484175"/>
    <n v="2083326"/>
    <s v="COP"/>
    <s v="3009"/>
    <s v="CO52001"/>
    <m/>
    <n v="47511046"/>
    <s v="Administracion de Contractos"/>
    <n v="41751150"/>
    <x v="30"/>
    <m/>
    <m/>
    <m/>
    <m/>
  </r>
  <r>
    <x v="521"/>
    <s v="0"/>
    <x v="429"/>
    <d v="2024-04-01T00:00:00"/>
    <n v="3567501"/>
    <n v="-1484175"/>
    <n v="2083326"/>
    <s v="COP"/>
    <s v="3009"/>
    <s v="CO52001"/>
    <m/>
    <n v="47567041"/>
    <s v="Planificación de la Producción y Control"/>
    <n v="41756150"/>
    <x v="25"/>
    <m/>
    <m/>
    <m/>
    <m/>
  </r>
  <r>
    <x v="522"/>
    <s v="0"/>
    <x v="430"/>
    <d v="2024-12-06T00:00:00"/>
    <n v="150658622"/>
    <n v="-21089275"/>
    <n v="129569347"/>
    <s v="COP"/>
    <s v="3009"/>
    <s v="CO41001"/>
    <m/>
    <n v="47544015"/>
    <s v="Corte Silicio"/>
    <n v="41754150"/>
    <x v="20"/>
    <m/>
    <m/>
    <m/>
    <m/>
  </r>
  <r>
    <x v="523"/>
    <s v="0"/>
    <x v="431"/>
    <d v="2024-05-28T00:00:00"/>
    <n v="34525536"/>
    <n v="-13288157"/>
    <n v="21237379"/>
    <s v="COP"/>
    <s v="3009"/>
    <s v="CO47001"/>
    <m/>
    <n v="47567021"/>
    <s v="Servicios en Sitio"/>
    <n v="41756150"/>
    <x v="18"/>
    <m/>
    <m/>
    <m/>
    <m/>
  </r>
  <r>
    <x v="524"/>
    <s v="0"/>
    <x v="431"/>
    <d v="2024-05-28T00:00:00"/>
    <n v="34525537"/>
    <n v="-13288157"/>
    <n v="21237380"/>
    <s v="COP"/>
    <s v="3009"/>
    <s v="CO47001"/>
    <m/>
    <n v="47567021"/>
    <s v="Servicios en Sitio"/>
    <n v="41756150"/>
    <x v="18"/>
    <m/>
    <m/>
    <m/>
    <m/>
  </r>
  <r>
    <x v="525"/>
    <s v="0"/>
    <x v="432"/>
    <d v="2024-04-01T00:00:00"/>
    <n v="8890490"/>
    <n v="-3698681"/>
    <n v="5191809"/>
    <s v="COP"/>
    <s v="3009"/>
    <s v="CO52001"/>
    <m/>
    <n v="47567063"/>
    <s v="Diseno Mecanico"/>
    <n v="41756150"/>
    <x v="26"/>
    <m/>
    <m/>
    <m/>
    <m/>
  </r>
  <r>
    <x v="526"/>
    <s v="0"/>
    <x v="432"/>
    <d v="2024-04-01T00:00:00"/>
    <n v="8890490"/>
    <n v="-3698681"/>
    <n v="5191809"/>
    <s v="COP"/>
    <s v="3009"/>
    <s v="CO52001"/>
    <m/>
    <n v="47567063"/>
    <s v="Diseno Mecanico"/>
    <n v="41756150"/>
    <x v="26"/>
    <m/>
    <m/>
    <m/>
    <m/>
  </r>
  <r>
    <x v="527"/>
    <s v="0"/>
    <x v="433"/>
    <d v="2024-04-01T00:00:00"/>
    <n v="3980550"/>
    <n v="-1656015"/>
    <n v="2324535"/>
    <s v="COP"/>
    <s v="3009"/>
    <s v="CO52001"/>
    <m/>
    <n v="47567062"/>
    <s v="Diseno Transformadores Especiales y Potencia"/>
    <n v="41756150"/>
    <x v="26"/>
    <m/>
    <m/>
    <m/>
    <m/>
  </r>
  <r>
    <x v="528"/>
    <s v="0"/>
    <x v="434"/>
    <d v="2024-08-29T00:00:00"/>
    <n v="145656000"/>
    <n v="-24328880"/>
    <n v="121327120"/>
    <s v="COP"/>
    <s v="3009"/>
    <s v="CO41001"/>
    <m/>
    <n v="47544026"/>
    <s v="Tratamiento Térmico"/>
    <n v="41754150"/>
    <x v="7"/>
    <m/>
    <m/>
    <m/>
    <m/>
  </r>
  <r>
    <x v="529"/>
    <s v="0"/>
    <x v="435"/>
    <d v="2024-11-28T00:00:00"/>
    <n v="221118296"/>
    <n v="-15717788"/>
    <n v="205400508"/>
    <s v="COP"/>
    <s v="3009"/>
    <s v="CO41001"/>
    <m/>
    <n v="47544015"/>
    <s v="Corte Silicio"/>
    <n v="41754150"/>
    <x v="20"/>
    <m/>
    <m/>
    <m/>
    <m/>
  </r>
  <r>
    <x v="530"/>
    <s v="0"/>
    <x v="436"/>
    <d v="2024-06-08T00:00:00"/>
    <n v="11007500"/>
    <n v="-2085195"/>
    <n v="8922305"/>
    <s v="COP"/>
    <s v="3009"/>
    <s v="CO41001"/>
    <m/>
    <n v="47544024"/>
    <s v="Ensamble Parte Activa &gt;300 KVA"/>
    <n v="41754150"/>
    <x v="15"/>
    <m/>
    <m/>
    <m/>
    <m/>
  </r>
  <r>
    <x v="531"/>
    <s v="0"/>
    <x v="437"/>
    <d v="2024-04-29T00:00:00"/>
    <n v="7695000"/>
    <n v="-3083588"/>
    <n v="4611412"/>
    <s v="COP"/>
    <s v="3009"/>
    <s v="CO52002"/>
    <m/>
    <n v="47567063"/>
    <s v="Diseno Mecanico"/>
    <n v="41756150"/>
    <x v="26"/>
    <m/>
    <m/>
    <m/>
    <m/>
  </r>
  <r>
    <x v="532"/>
    <s v="0"/>
    <x v="438"/>
    <d v="2024-11-19T00:00:00"/>
    <n v="35772891"/>
    <n v="-5173667"/>
    <n v="30599224"/>
    <s v="COP"/>
    <s v="3009"/>
    <s v="CO42001"/>
    <m/>
    <n v="47544021"/>
    <s v="Devanados Seco DT, MF y MDF"/>
    <n v="41754150"/>
    <x v="31"/>
    <m/>
    <m/>
    <m/>
    <m/>
  </r>
  <r>
    <x v="533"/>
    <s v="0"/>
    <x v="438"/>
    <d v="2024-11-19T00:00:00"/>
    <n v="35772893"/>
    <n v="-5173667"/>
    <n v="30599226"/>
    <s v="COP"/>
    <s v="3009"/>
    <s v="CO42001"/>
    <m/>
    <n v="47544021"/>
    <s v="Devanados Seco DT, MF y MDF"/>
    <n v="41754150"/>
    <x v="31"/>
    <m/>
    <m/>
    <m/>
    <m/>
  </r>
  <r>
    <x v="534"/>
    <s v="0"/>
    <x v="439"/>
    <d v="2024-11-19T00:00:00"/>
    <n v="43074074"/>
    <n v="-6229603"/>
    <n v="36844471"/>
    <s v="COP"/>
    <s v="3009"/>
    <s v="CO42001"/>
    <m/>
    <n v="47544021"/>
    <s v="Devanados Seco DT, MF y MDF"/>
    <n v="41754150"/>
    <x v="31"/>
    <m/>
    <m/>
    <m/>
    <m/>
  </r>
  <r>
    <x v="535"/>
    <s v="0"/>
    <x v="440"/>
    <d v="2024-11-19T00:00:00"/>
    <n v="57432097"/>
    <n v="-8306138"/>
    <n v="49125959"/>
    <s v="COP"/>
    <s v="3009"/>
    <s v="CO42001"/>
    <m/>
    <n v="47544021"/>
    <s v="Devanados Seco DT, MF y MDF"/>
    <n v="41754150"/>
    <x v="31"/>
    <m/>
    <m/>
    <m/>
    <m/>
  </r>
  <r>
    <x v="536"/>
    <s v="0"/>
    <x v="441"/>
    <d v="2024-11-19T00:00:00"/>
    <n v="81157394"/>
    <n v="-3540196"/>
    <n v="77617198"/>
    <s v="COP"/>
    <s v="3009"/>
    <s v="CO41001"/>
    <m/>
    <n v="47544032"/>
    <s v="Laboratório Aceite, Encapasuldo y Seco &gt;300 kVA"/>
    <n v="41754150"/>
    <x v="3"/>
    <m/>
    <m/>
    <m/>
    <m/>
  </r>
  <r>
    <x v="537"/>
    <s v="0"/>
    <x v="442"/>
    <d v="2024-06-14T00:00:00"/>
    <n v="9353400"/>
    <n v="-3513039"/>
    <n v="5840361"/>
    <s v="COP"/>
    <s v="3009"/>
    <s v="CO52001"/>
    <m/>
    <n v="47567063"/>
    <s v="Diseno Mecanico"/>
    <n v="41756150"/>
    <x v="26"/>
    <m/>
    <m/>
    <m/>
    <m/>
  </r>
  <r>
    <x v="538"/>
    <s v="0"/>
    <x v="442"/>
    <d v="2024-06-14T00:00:00"/>
    <n v="9353400"/>
    <n v="-3513039"/>
    <n v="5840361"/>
    <s v="COP"/>
    <s v="3009"/>
    <s v="CO52001"/>
    <m/>
    <n v="47567063"/>
    <s v="Diseno Mecanico"/>
    <n v="41756150"/>
    <x v="26"/>
    <m/>
    <m/>
    <m/>
    <m/>
  </r>
  <r>
    <x v="539"/>
    <s v="0"/>
    <x v="442"/>
    <d v="2024-06-14T00:00:00"/>
    <n v="9353400"/>
    <n v="-3513039"/>
    <n v="5840361"/>
    <s v="COP"/>
    <s v="3009"/>
    <s v="CO52001"/>
    <m/>
    <n v="47567063"/>
    <s v="Diseno Mecanico"/>
    <n v="41756150"/>
    <x v="26"/>
    <m/>
    <m/>
    <m/>
    <m/>
  </r>
  <r>
    <x v="540"/>
    <s v="0"/>
    <x v="443"/>
    <d v="2024-10-30T00:00:00"/>
    <n v="23310172"/>
    <n v="-3498620"/>
    <n v="19811552"/>
    <s v="COP"/>
    <s v="3009"/>
    <s v="CO41001"/>
    <m/>
    <n v="47544019"/>
    <s v="Preparación de Aislamento"/>
    <n v="41754150"/>
    <x v="2"/>
    <m/>
    <m/>
    <m/>
    <m/>
  </r>
  <r>
    <x v="541"/>
    <s v="0"/>
    <x v="444"/>
    <d v="2024-11-17T00:00:00"/>
    <n v="56688151"/>
    <n v="-8229520"/>
    <n v="48458631"/>
    <s v="COP"/>
    <s v="3009"/>
    <s v="CO41001"/>
    <m/>
    <n v="47544029"/>
    <s v="Tratamiento de Aceite"/>
    <n v="41754150"/>
    <x v="4"/>
    <m/>
    <m/>
    <m/>
    <m/>
  </r>
  <r>
    <x v="542"/>
    <s v="0"/>
    <x v="445"/>
    <d v="2024-08-15T00:00:00"/>
    <n v="20753600"/>
    <n v="-3545853"/>
    <n v="17207747"/>
    <s v="COP"/>
    <s v="3009"/>
    <s v="CO41001"/>
    <m/>
    <n v="47544024"/>
    <s v="Ensamble Parte Activa &gt;300 KVA"/>
    <n v="41754150"/>
    <x v="23"/>
    <m/>
    <m/>
    <m/>
    <m/>
  </r>
  <r>
    <x v="543"/>
    <s v="0"/>
    <x v="446"/>
    <d v="2024-07-12T00:00:00"/>
    <n v="8972600"/>
    <n v="-3232728"/>
    <n v="5739872"/>
    <s v="COP"/>
    <s v="3009"/>
    <s v="CO46001"/>
    <m/>
    <n v="47544024"/>
    <s v="Ensamble Parte Activa &gt;300 KVA"/>
    <n v="41754150"/>
    <x v="15"/>
    <m/>
    <m/>
    <m/>
    <m/>
  </r>
  <r>
    <x v="544"/>
    <s v="0"/>
    <x v="447"/>
    <d v="2024-12-17T00:00:00"/>
    <n v="33453014"/>
    <n v="-4582229"/>
    <n v="28870785"/>
    <s v="COP"/>
    <s v="3009"/>
    <s v="CO42001"/>
    <m/>
    <n v="47544021"/>
    <s v="Devanados Seco DT, MF y MDF"/>
    <n v="41754150"/>
    <x v="31"/>
    <m/>
    <m/>
    <m/>
    <m/>
  </r>
  <r>
    <x v="545"/>
    <s v="0"/>
    <x v="447"/>
    <d v="2024-12-17T00:00:00"/>
    <n v="33453017"/>
    <n v="-4582230"/>
    <n v="28870787"/>
    <s v="COP"/>
    <s v="3009"/>
    <s v="CO42001"/>
    <m/>
    <n v="47544021"/>
    <s v="Devanados Seco DT, MF y MDF"/>
    <n v="41754150"/>
    <x v="31"/>
    <m/>
    <m/>
    <m/>
    <m/>
  </r>
  <r>
    <x v="546"/>
    <s v="0"/>
    <x v="447"/>
    <d v="2024-12-17T00:00:00"/>
    <n v="33453017"/>
    <n v="-4582230"/>
    <n v="28870787"/>
    <s v="COP"/>
    <s v="3009"/>
    <s v="CO42001"/>
    <m/>
    <n v="47544021"/>
    <s v="Devanados Seco DT, MF y MDF"/>
    <n v="41754150"/>
    <x v="31"/>
    <m/>
    <m/>
    <m/>
    <m/>
  </r>
  <r>
    <x v="547"/>
    <s v="0"/>
    <x v="448"/>
    <d v="2024-07-12T00:00:00"/>
    <n v="4428673"/>
    <n v="-1595602"/>
    <n v="2833071"/>
    <s v="COP"/>
    <s v="3009"/>
    <s v="CO52001"/>
    <m/>
    <n v="47511020"/>
    <s v="GER. VENTAS"/>
    <n v="41751150"/>
    <x v="30"/>
    <m/>
    <m/>
    <m/>
    <m/>
  </r>
  <r>
    <x v="548"/>
    <s v="0"/>
    <x v="449"/>
    <d v="2024-09-11T00:00:00"/>
    <n v="3800157"/>
    <n v="-1242482"/>
    <n v="2557675"/>
    <s v="COP"/>
    <s v="3009"/>
    <s v="CO52001"/>
    <m/>
    <n v="47567102"/>
    <s v="Processos"/>
    <n v="41756150"/>
    <x v="29"/>
    <m/>
    <m/>
    <m/>
    <m/>
  </r>
  <r>
    <x v="549"/>
    <s v="0"/>
    <x v="450"/>
    <d v="2024-08-27T00:00:00"/>
    <n v="4010300"/>
    <n v="-1344061"/>
    <n v="2666239"/>
    <s v="COP"/>
    <s v="3009"/>
    <s v="CO52001"/>
    <m/>
    <n v="47567062"/>
    <s v="Diseno Transformadores Especiales y Potencia"/>
    <n v="41756150"/>
    <x v="26"/>
    <m/>
    <m/>
    <m/>
    <m/>
  </r>
  <r>
    <x v="550"/>
    <s v="0"/>
    <x v="450"/>
    <d v="2024-08-27T00:00:00"/>
    <n v="4010300"/>
    <n v="-1344061"/>
    <n v="2666239"/>
    <s v="COP"/>
    <s v="3009"/>
    <s v="CO52001"/>
    <m/>
    <n v="47567062"/>
    <s v="Diseno Transformadores Especiales y Potencia"/>
    <n v="41756150"/>
    <x v="26"/>
    <m/>
    <m/>
    <m/>
    <m/>
  </r>
  <r>
    <x v="551"/>
    <s v="0"/>
    <x v="451"/>
    <d v="2024-09-02T00:00:00"/>
    <n v="3709034"/>
    <n v="-1230931"/>
    <n v="2478103"/>
    <s v="COP"/>
    <s v="3009"/>
    <s v="CO52001"/>
    <m/>
    <n v="47567102"/>
    <s v="Processos"/>
    <n v="41756150"/>
    <x v="29"/>
    <m/>
    <m/>
    <m/>
    <m/>
  </r>
  <r>
    <x v="552"/>
    <s v="0"/>
    <x v="452"/>
    <d v="2024-10-23T00:00:00"/>
    <n v="126211400"/>
    <n v="-19184435"/>
    <n v="107026965"/>
    <s v="COP"/>
    <s v="3009"/>
    <s v="CO41001"/>
    <m/>
    <n v="47544025"/>
    <s v="Encubado"/>
    <n v="41754150"/>
    <x v="4"/>
    <m/>
    <m/>
    <m/>
    <m/>
  </r>
  <r>
    <x v="553"/>
    <s v="0"/>
    <x v="453"/>
    <d v="2024-10-09T00:00:00"/>
    <n v="5355000"/>
    <n v="-1668913"/>
    <n v="3686087"/>
    <s v="COP"/>
    <s v="3009"/>
    <s v="CO52001"/>
    <m/>
    <n v="47500021"/>
    <s v="Recursos Humanos "/>
    <n v="41750150"/>
    <x v="5"/>
    <m/>
    <m/>
    <m/>
    <m/>
  </r>
  <r>
    <x v="554"/>
    <s v="0"/>
    <x v="453"/>
    <d v="2024-10-09T00:00:00"/>
    <n v="5355000"/>
    <n v="-1668913"/>
    <n v="3686087"/>
    <s v="COP"/>
    <s v="3009"/>
    <s v="CO52001"/>
    <m/>
    <n v="47500021"/>
    <s v="Recursos Humanos "/>
    <n v="41750150"/>
    <x v="5"/>
    <m/>
    <m/>
    <m/>
    <m/>
  </r>
  <r>
    <x v="555"/>
    <s v="0"/>
    <x v="454"/>
    <d v="2024-10-21T00:00:00"/>
    <n v="12378569"/>
    <n v="-3776673"/>
    <n v="8601896"/>
    <s v="COP"/>
    <s v="3009"/>
    <s v="CO52001"/>
    <m/>
    <n v="47544013"/>
    <s v="Esamble Tanques"/>
    <n v="41754150"/>
    <x v="13"/>
    <m/>
    <m/>
    <m/>
    <m/>
  </r>
  <r>
    <x v="556"/>
    <s v="0"/>
    <x v="455"/>
    <d v="2024-10-11T00:00:00"/>
    <n v="9235216"/>
    <n v="-2868108"/>
    <n v="6367108"/>
    <s v="COP"/>
    <s v="3009"/>
    <s v="CO52001"/>
    <m/>
    <n v="47567063"/>
    <s v="Diseno Mecanico"/>
    <n v="41756150"/>
    <x v="26"/>
    <m/>
    <m/>
    <m/>
    <m/>
  </r>
  <r>
    <x v="557"/>
    <s v="0"/>
    <x v="455"/>
    <d v="2024-10-11T00:00:00"/>
    <n v="9235216"/>
    <n v="-2868108"/>
    <n v="6367108"/>
    <s v="COP"/>
    <s v="3009"/>
    <s v="CO52001"/>
    <m/>
    <n v="47567063"/>
    <s v="Diseno Mecanico"/>
    <n v="41756150"/>
    <x v="26"/>
    <m/>
    <m/>
    <m/>
    <m/>
  </r>
  <r>
    <x v="558"/>
    <s v="0"/>
    <x v="456"/>
    <d v="2024-12-27T00:00:00"/>
    <n v="8784898"/>
    <n v="-2353651"/>
    <n v="6431247"/>
    <s v="COP"/>
    <s v="3009"/>
    <s v="CO47001"/>
    <m/>
    <n v="47544021"/>
    <s v="Devanados Seco DT, MF y MDF"/>
    <n v="41754150"/>
    <x v="37"/>
    <m/>
    <m/>
    <m/>
    <m/>
  </r>
  <r>
    <x v="559"/>
    <s v="0"/>
    <x v="457"/>
    <d v="2024-11-13T00:00:00"/>
    <n v="5696248"/>
    <n v="-833160"/>
    <n v="4863088"/>
    <s v="COP"/>
    <s v="3009"/>
    <s v="CO41001"/>
    <m/>
    <n v="47544019"/>
    <s v="Preparación de Aislamento"/>
    <n v="41754150"/>
    <x v="2"/>
    <m/>
    <m/>
    <m/>
    <m/>
  </r>
  <r>
    <x v="559"/>
    <s v="1"/>
    <x v="458"/>
    <d v="2024-11-13T00:00:00"/>
    <n v="3138748"/>
    <n v="-459088"/>
    <n v="2679660"/>
    <s v="COP"/>
    <s v="3009"/>
    <s v="CO41001"/>
    <m/>
    <n v="47544019"/>
    <s v="Preparación de Aislamento"/>
    <n v="41754150"/>
    <x v="2"/>
    <m/>
    <m/>
    <m/>
    <m/>
  </r>
  <r>
    <x v="560"/>
    <s v="0"/>
    <x v="459"/>
    <d v="2025-06-13T00:00:00"/>
    <n v="111543446"/>
    <n v="-9840271"/>
    <n v="101703175"/>
    <s v="COP"/>
    <s v="3009"/>
    <s v="CO41001"/>
    <m/>
    <n v="47544021"/>
    <s v="Devanados Seco DT, MF y MDF"/>
    <n v="41754150"/>
    <x v="14"/>
    <m/>
    <m/>
    <m/>
    <m/>
  </r>
  <r>
    <x v="561"/>
    <s v="0"/>
    <x v="460"/>
    <d v="2024-11-07T00:00:00"/>
    <n v="2744021"/>
    <n v="-811704"/>
    <n v="1932317"/>
    <s v="COP"/>
    <s v="3009"/>
    <s v="CO52001"/>
    <m/>
    <n v="47567102"/>
    <s v="Processos"/>
    <n v="41756150"/>
    <x v="29"/>
    <m/>
    <m/>
    <m/>
    <m/>
  </r>
  <r>
    <x v="562"/>
    <s v="0"/>
    <x v="460"/>
    <d v="2024-11-07T00:00:00"/>
    <n v="2744021"/>
    <n v="-811704"/>
    <n v="1932317"/>
    <s v="COP"/>
    <s v="3009"/>
    <s v="CO52001"/>
    <m/>
    <n v="47567081"/>
    <s v="Calidad"/>
    <n v="41756150"/>
    <x v="27"/>
    <m/>
    <m/>
    <m/>
    <m/>
  </r>
  <r>
    <x v="563"/>
    <s v="0"/>
    <x v="460"/>
    <d v="2024-11-20T00:00:00"/>
    <n v="2305900"/>
    <n v="-665723"/>
    <n v="1640177"/>
    <s v="COP"/>
    <s v="3009"/>
    <s v="CO52001"/>
    <m/>
    <n v="47567102"/>
    <s v="Processos"/>
    <n v="41756150"/>
    <x v="29"/>
    <m/>
    <m/>
    <m/>
    <m/>
  </r>
  <r>
    <x v="564"/>
    <s v="0"/>
    <x v="460"/>
    <d v="2024-11-20T00:00:00"/>
    <n v="2305900"/>
    <n v="-665723"/>
    <n v="1640177"/>
    <s v="COP"/>
    <s v="3009"/>
    <s v="CO52001"/>
    <m/>
    <n v="47567102"/>
    <s v="Processos"/>
    <n v="41756150"/>
    <x v="29"/>
    <m/>
    <m/>
    <m/>
    <m/>
  </r>
  <r>
    <x v="565"/>
    <s v="0"/>
    <x v="461"/>
    <d v="2024-11-22T00:00:00"/>
    <n v="11099852"/>
    <n v="-3192443"/>
    <n v="7907409"/>
    <s v="COP"/>
    <s v="3009"/>
    <s v="CO52001"/>
    <m/>
    <n v="47567102"/>
    <s v="Processos"/>
    <n v="41756150"/>
    <x v="29"/>
    <m/>
    <m/>
    <m/>
    <m/>
  </r>
  <r>
    <x v="566"/>
    <s v="0"/>
    <x v="462"/>
    <d v="2024-12-11T00:00:00"/>
    <n v="27289437"/>
    <n v="-7565418"/>
    <n v="19724019"/>
    <s v="COP"/>
    <s v="3009"/>
    <s v="CO47001"/>
    <m/>
    <n v="47511045"/>
    <s v="Assistencia Técnica"/>
    <n v="41751150"/>
    <x v="18"/>
    <m/>
    <m/>
    <m/>
    <m/>
  </r>
  <r>
    <x v="567"/>
    <s v="0"/>
    <x v="463"/>
    <d v="2024-12-16T00:00:00"/>
    <n v="8866690"/>
    <n v="-2433876"/>
    <n v="6432814"/>
    <s v="COP"/>
    <s v="3009"/>
    <s v="CO52001"/>
    <m/>
    <n v="47500000"/>
    <s v="GER. GENERAL WCO-WTD"/>
    <n v="41750150"/>
    <x v="5"/>
    <m/>
    <m/>
    <m/>
    <m/>
  </r>
  <r>
    <x v="568"/>
    <s v="0"/>
    <x v="464"/>
    <d v="2024-12-19T00:00:00"/>
    <n v="35473900"/>
    <n v="-4839655"/>
    <n v="30634245"/>
    <s v="COP"/>
    <s v="3009"/>
    <s v="CO41001"/>
    <m/>
    <n v="47544021"/>
    <s v="Devanados Seco DT, MF y MDF"/>
    <n v="41754150"/>
    <x v="8"/>
    <m/>
    <m/>
    <m/>
    <m/>
  </r>
  <r>
    <x v="569"/>
    <s v="0"/>
    <x v="465"/>
    <d v="2025-02-21T00:00:00"/>
    <n v="25031649"/>
    <n v="-2976366"/>
    <n v="22055283"/>
    <s v="COP"/>
    <s v="3009"/>
    <s v="CO41001"/>
    <m/>
    <n v="47544021"/>
    <s v="Devanados Seco DT, MF y MDF"/>
    <n v="41754150"/>
    <x v="31"/>
    <m/>
    <m/>
    <m/>
    <m/>
  </r>
  <r>
    <x v="570"/>
    <s v="0"/>
    <x v="466"/>
    <d v="2025-01-22T00:00:00"/>
    <n v="5829810"/>
    <n v="-1482209"/>
    <n v="4347601"/>
    <s v="COP"/>
    <s v="3009"/>
    <s v="CO52001"/>
    <m/>
    <n v="47567061"/>
    <s v="Diseno Transformadores Secos y Aceite"/>
    <n v="41756150"/>
    <x v="26"/>
    <m/>
    <m/>
    <m/>
    <m/>
  </r>
  <r>
    <x v="571"/>
    <s v="0"/>
    <x v="467"/>
    <d v="2025-02-06T00:00:00"/>
    <n v="5381180"/>
    <n v="-1323918"/>
    <n v="4057262"/>
    <s v="COP"/>
    <s v="3009"/>
    <s v="CO47001"/>
    <m/>
    <n v="47567064"/>
    <s v="Pruebas"/>
    <n v="41756150"/>
    <x v="3"/>
    <m/>
    <m/>
    <m/>
    <m/>
  </r>
  <r>
    <x v="572"/>
    <s v="0"/>
    <x v="468"/>
    <d v="2025-05-26T00:00:00"/>
    <n v="7610265"/>
    <n v="-708901"/>
    <n v="6901364"/>
    <s v="COP"/>
    <s v="3009"/>
    <s v="CO41001"/>
    <m/>
    <n v="47544024"/>
    <s v="Ensamble Parte Activa &gt;300 KVA"/>
    <n v="41754150"/>
    <x v="20"/>
    <m/>
    <m/>
    <m/>
    <m/>
  </r>
  <r>
    <x v="573"/>
    <s v="0"/>
    <x v="468"/>
    <d v="2025-05-26T00:00:00"/>
    <n v="7610265"/>
    <n v="-708901"/>
    <n v="6901364"/>
    <s v="COP"/>
    <s v="3009"/>
    <s v="CO41001"/>
    <m/>
    <n v="47544024"/>
    <s v="Ensamble Parte Activa &gt;300 KVA"/>
    <n v="41754150"/>
    <x v="8"/>
    <m/>
    <m/>
    <m/>
    <m/>
  </r>
  <r>
    <x v="574"/>
    <s v="0"/>
    <x v="469"/>
    <d v="2025-02-25T00:00:00"/>
    <n v="2665600"/>
    <n v="-628059"/>
    <n v="2037541"/>
    <s v="COP"/>
    <s v="3009"/>
    <s v="CO52001"/>
    <m/>
    <n v="47511020"/>
    <s v="GER. VENTAS"/>
    <n v="41751150"/>
    <x v="30"/>
    <m/>
    <m/>
    <m/>
    <m/>
  </r>
  <r>
    <x v="575"/>
    <s v="0"/>
    <x v="469"/>
    <d v="2025-02-25T00:00:00"/>
    <n v="2665600"/>
    <n v="-628059"/>
    <n v="2037541"/>
    <s v="COP"/>
    <s v="3009"/>
    <s v="CO52001"/>
    <m/>
    <n v="47567102"/>
    <s v="Processos"/>
    <n v="41756150"/>
    <x v="29"/>
    <m/>
    <m/>
    <m/>
    <m/>
  </r>
  <r>
    <x v="576"/>
    <s v="0"/>
    <x v="470"/>
    <d v="2025-02-17T00:00:00"/>
    <n v="4556510"/>
    <n v="-1093562"/>
    <n v="3462948"/>
    <s v="COP"/>
    <s v="3009"/>
    <s v="CO52001"/>
    <m/>
    <n v="47567062"/>
    <s v="Diseno Transformadores Especiales y Potencia"/>
    <n v="41756150"/>
    <x v="26"/>
    <m/>
    <m/>
    <m/>
    <m/>
  </r>
  <r>
    <x v="577"/>
    <s v="0"/>
    <x v="471"/>
    <d v="2025-02-13T00:00:00"/>
    <n v="10162600"/>
    <n v="-2461298"/>
    <n v="7701302"/>
    <s v="COP"/>
    <s v="3009"/>
    <s v="CO52001"/>
    <m/>
    <n v="47500000"/>
    <s v="GER. GENERAL WCO-WTD"/>
    <n v="41750150"/>
    <x v="5"/>
    <m/>
    <m/>
    <m/>
    <m/>
  </r>
  <r>
    <x v="578"/>
    <s v="0"/>
    <x v="472"/>
    <d v="2025-02-17T00:00:00"/>
    <n v="7967636"/>
    <n v="-956117"/>
    <n v="7011519"/>
    <s v="COP"/>
    <s v="3009"/>
    <s v="CO41001"/>
    <m/>
    <n v="47544021"/>
    <s v="Devanados Seco DT, MF y MDF"/>
    <n v="41754150"/>
    <x v="22"/>
    <m/>
    <m/>
    <m/>
    <m/>
  </r>
  <r>
    <x v="579"/>
    <s v="0"/>
    <x v="473"/>
    <d v="2025-02-18T00:00:00"/>
    <n v="722213"/>
    <n v="-86468"/>
    <n v="635745"/>
    <s v="COP"/>
    <s v="3009"/>
    <s v="CO41001"/>
    <m/>
    <n v="47544021"/>
    <s v="Devanados Seco DT, MF y MDF"/>
    <n v="41754150"/>
    <x v="38"/>
    <m/>
    <m/>
    <m/>
    <m/>
  </r>
  <r>
    <x v="580"/>
    <s v="0"/>
    <x v="474"/>
    <d v="2025-02-18T00:00:00"/>
    <n v="17700000"/>
    <n v="-2119151"/>
    <n v="15580849"/>
    <s v="COP"/>
    <s v="3009"/>
    <s v="CO41001"/>
    <m/>
    <n v="47544021"/>
    <s v="Devanados Seco DT, MF y MDF"/>
    <n v="41754150"/>
    <x v="31"/>
    <m/>
    <m/>
    <m/>
    <m/>
  </r>
  <r>
    <x v="581"/>
    <s v="0"/>
    <x v="475"/>
    <d v="2025-07-10T00:00:00"/>
    <n v="85668068"/>
    <n v="-6923857"/>
    <n v="78744211"/>
    <s v="COP"/>
    <s v="3009"/>
    <s v="CO41001"/>
    <m/>
    <n v="47544021"/>
    <s v="Devanados Seco DT, MF y MDF"/>
    <n v="41754150"/>
    <x v="21"/>
    <m/>
    <m/>
    <m/>
    <m/>
  </r>
  <r>
    <x v="582"/>
    <s v="0"/>
    <x v="476"/>
    <d v="2025-03-06T00:00:00"/>
    <n v="29836010"/>
    <n v="-3441359"/>
    <n v="26394651"/>
    <s v="COP"/>
    <s v="3009"/>
    <s v="CO41001"/>
    <m/>
    <n v="47544013"/>
    <s v="Esamble Tanques"/>
    <n v="41754150"/>
    <x v="14"/>
    <m/>
    <m/>
    <m/>
    <m/>
  </r>
  <r>
    <x v="583"/>
    <s v="0"/>
    <x v="477"/>
    <d v="2025-03-07T00:00:00"/>
    <n v="9936500"/>
    <n v="-2286756"/>
    <n v="7649744"/>
    <s v="COP"/>
    <s v="3009"/>
    <s v="CO52001"/>
    <m/>
    <n v="47567102"/>
    <s v="Processos"/>
    <n v="41756150"/>
    <x v="29"/>
    <m/>
    <m/>
    <m/>
    <m/>
  </r>
  <r>
    <x v="584"/>
    <s v="0"/>
    <x v="477"/>
    <d v="2025-03-07T00:00:00"/>
    <n v="9936500"/>
    <n v="-2286756"/>
    <n v="7649744"/>
    <s v="COP"/>
    <s v="3009"/>
    <s v="CO52001"/>
    <m/>
    <n v="47567102"/>
    <s v="Processos"/>
    <n v="41756150"/>
    <x v="29"/>
    <m/>
    <m/>
    <m/>
    <m/>
  </r>
  <r>
    <x v="585"/>
    <s v="0"/>
    <x v="477"/>
    <d v="2025-03-07T00:00:00"/>
    <n v="9936500"/>
    <n v="-2286756"/>
    <n v="7649744"/>
    <s v="COP"/>
    <s v="3009"/>
    <s v="CO52001"/>
    <m/>
    <n v="47567102"/>
    <s v="Processos"/>
    <n v="41756150"/>
    <x v="29"/>
    <m/>
    <m/>
    <m/>
    <m/>
  </r>
  <r>
    <x v="586"/>
    <s v="0"/>
    <x v="478"/>
    <d v="2025-04-16T00:00:00"/>
    <n v="10748640"/>
    <n v="-2238073"/>
    <n v="8510567"/>
    <s v="COP"/>
    <s v="3009"/>
    <s v="CO52001"/>
    <m/>
    <n v="47567102"/>
    <s v="Processos"/>
    <n v="41756150"/>
    <x v="29"/>
    <m/>
    <m/>
    <m/>
    <m/>
  </r>
  <r>
    <x v="587"/>
    <s v="0"/>
    <x v="479"/>
    <d v="2025-03-31T00:00:00"/>
    <n v="17280802"/>
    <n v="-1874849"/>
    <n v="15405953"/>
    <s v="COP"/>
    <s v="3009"/>
    <s v="CO41001"/>
    <m/>
    <n v="47544021"/>
    <s v="Devanados Seco DT, MF y MDF"/>
    <n v="41754150"/>
    <x v="4"/>
    <m/>
    <m/>
    <m/>
    <s v="Dar de baja"/>
  </r>
  <r>
    <x v="588"/>
    <s v="0"/>
    <x v="480"/>
    <d v="2025-03-31T00:00:00"/>
    <n v="11520553"/>
    <n v="-1249901"/>
    <n v="10270652"/>
    <s v="COP"/>
    <s v="3009"/>
    <s v="CO41001"/>
    <m/>
    <n v="47544021"/>
    <s v="Devanados Seco DT, MF y MDF"/>
    <n v="41754150"/>
    <x v="8"/>
    <m/>
    <m/>
    <m/>
    <m/>
  </r>
  <r>
    <x v="589"/>
    <s v="0"/>
    <x v="481"/>
    <d v="2025-03-31T00:00:00"/>
    <n v="10368505"/>
    <n v="-1124911"/>
    <n v="9243594"/>
    <s v="COP"/>
    <s v="3009"/>
    <s v="CO41001"/>
    <m/>
    <n v="47544024"/>
    <s v="Ensamble Parte Activa &gt;300 KVA"/>
    <n v="41754150"/>
    <x v="20"/>
    <m/>
    <m/>
    <m/>
    <m/>
  </r>
  <r>
    <x v="590"/>
    <s v="0"/>
    <x v="482"/>
    <d v="2025-03-31T00:00:00"/>
    <n v="12672604"/>
    <n v="-1374891"/>
    <n v="11297713"/>
    <s v="COP"/>
    <s v="3009"/>
    <s v="CO41001"/>
    <m/>
    <n v="47544024"/>
    <s v="Ensamble Parte Activa &gt;300 KVA"/>
    <n v="41754150"/>
    <x v="20"/>
    <m/>
    <m/>
    <m/>
    <m/>
  </r>
  <r>
    <x v="591"/>
    <s v="0"/>
    <x v="483"/>
    <d v="2025-03-31T00:00:00"/>
    <n v="11520553"/>
    <n v="-1249901"/>
    <n v="10270652"/>
    <s v="COP"/>
    <s v="3009"/>
    <s v="CO44001"/>
    <m/>
    <n v="47544021"/>
    <s v="Devanados Seco DT, MF y MDF"/>
    <n v="41754150"/>
    <x v="31"/>
    <m/>
    <m/>
    <m/>
    <m/>
  </r>
  <r>
    <x v="592"/>
    <s v="0"/>
    <x v="484"/>
    <d v="2025-04-23T00:00:00"/>
    <n v="2773964"/>
    <n v="-283477"/>
    <n v="2490487"/>
    <s v="COP"/>
    <s v="3009"/>
    <s v="CO41001"/>
    <m/>
    <n v="47544015"/>
    <s v="Corte Silicio"/>
    <n v="41754150"/>
    <x v="20"/>
    <m/>
    <m/>
    <m/>
    <m/>
  </r>
  <r>
    <x v="593"/>
    <s v="0"/>
    <x v="485"/>
    <d v="2025-10-18T00:00:00"/>
    <n v="566440000"/>
    <n v="-30261863"/>
    <n v="536178137"/>
    <s v="COP"/>
    <s v="3009"/>
    <s v="CO41001"/>
    <m/>
    <n v="47544024"/>
    <s v="Ensamble Parte Activa &gt;300 KVA"/>
    <n v="41754150"/>
    <x v="4"/>
    <m/>
    <m/>
    <m/>
    <m/>
  </r>
  <r>
    <x v="594"/>
    <s v="0"/>
    <x v="486"/>
    <d v="2025-05-05T00:00:00"/>
    <n v="3510500"/>
    <n v="-694405"/>
    <n v="2816095"/>
    <s v="COP"/>
    <s v="3009"/>
    <s v="CO52001"/>
    <m/>
    <n v="47567064"/>
    <s v="Pruebas"/>
    <n v="41756150"/>
    <x v="3"/>
    <m/>
    <m/>
    <m/>
    <m/>
  </r>
  <r>
    <x v="595"/>
    <s v="0"/>
    <x v="487"/>
    <d v="2025-05-31T00:00:00"/>
    <n v="64691063"/>
    <n v="-5828101"/>
    <n v="58862962"/>
    <s v="COP"/>
    <s v="3009"/>
    <s v="CO41001"/>
    <m/>
    <n v="47544024"/>
    <s v="Ensamble Parte Activa &gt;300 KVA"/>
    <n v="41754150"/>
    <x v="15"/>
    <m/>
    <m/>
    <m/>
    <m/>
  </r>
  <r>
    <x v="596"/>
    <s v="0"/>
    <x v="488"/>
    <d v="2025-05-31T00:00:00"/>
    <n v="64691063"/>
    <n v="-5828101"/>
    <n v="58862962"/>
    <s v="COP"/>
    <s v="3009"/>
    <s v="CO41001"/>
    <m/>
    <n v="47544024"/>
    <s v="Ensamble Parte Activa &gt;300 KVA"/>
    <n v="41754150"/>
    <x v="15"/>
    <m/>
    <m/>
    <m/>
    <m/>
  </r>
  <r>
    <x v="597"/>
    <s v="0"/>
    <x v="489"/>
    <d v="2025-05-27T00:00:00"/>
    <n v="10317300"/>
    <n v="-1916474"/>
    <n v="8400826"/>
    <s v="COP"/>
    <s v="3009"/>
    <s v="CO52001"/>
    <m/>
    <n v="47567063"/>
    <s v="Diseno Mecanico"/>
    <n v="41756150"/>
    <x v="26"/>
    <m/>
    <m/>
    <m/>
    <m/>
  </r>
  <r>
    <x v="598"/>
    <s v="0"/>
    <x v="489"/>
    <d v="2025-05-27T00:00:00"/>
    <n v="10317300"/>
    <n v="-1916474"/>
    <n v="8400826"/>
    <s v="COP"/>
    <s v="3009"/>
    <s v="CO52001"/>
    <m/>
    <n v="47567063"/>
    <s v="Diseno Mecanico"/>
    <n v="41756150"/>
    <x v="26"/>
    <m/>
    <m/>
    <m/>
    <m/>
  </r>
  <r>
    <x v="599"/>
    <s v="0"/>
    <x v="490"/>
    <d v="2025-05-27T00:00:00"/>
    <n v="2594200"/>
    <n v="-481882"/>
    <n v="2112318"/>
    <s v="COP"/>
    <s v="3009"/>
    <s v="CO52001"/>
    <m/>
    <n v="47567081"/>
    <s v="Calidad"/>
    <n v="41756150"/>
    <x v="27"/>
    <m/>
    <m/>
    <m/>
    <m/>
  </r>
  <r>
    <x v="600"/>
    <s v="0"/>
    <x v="490"/>
    <d v="2025-05-27T00:00:00"/>
    <n v="2594200"/>
    <n v="-481882"/>
    <n v="2112318"/>
    <s v="COP"/>
    <s v="3009"/>
    <s v="CO52001"/>
    <m/>
    <n v="47511023"/>
    <s v="Ventas Centro"/>
    <n v="41751150"/>
    <x v="30"/>
    <m/>
    <m/>
    <m/>
    <m/>
  </r>
  <r>
    <x v="601"/>
    <s v="0"/>
    <x v="490"/>
    <d v="2025-05-27T00:00:00"/>
    <n v="2594200"/>
    <n v="-481882"/>
    <n v="2112318"/>
    <s v="COP"/>
    <s v="3009"/>
    <s v="CO52001"/>
    <m/>
    <n v="47567041"/>
    <s v="Planificación de la Producción y Control"/>
    <n v="41756150"/>
    <x v="25"/>
    <m/>
    <m/>
    <m/>
    <m/>
  </r>
  <r>
    <x v="602"/>
    <s v="0"/>
    <x v="490"/>
    <d v="2025-05-27T00:00:00"/>
    <n v="2594200"/>
    <n v="-481882"/>
    <n v="2112318"/>
    <s v="COP"/>
    <s v="3009"/>
    <s v="CO52001"/>
    <m/>
    <n v="47544021"/>
    <s v="Devanados Seco DT, MF y MDF"/>
    <n v="41754150"/>
    <x v="5"/>
    <m/>
    <m/>
    <m/>
    <m/>
  </r>
  <r>
    <x v="603"/>
    <s v="0"/>
    <x v="490"/>
    <d v="2025-05-27T00:00:00"/>
    <n v="2594200"/>
    <n v="-481882"/>
    <n v="2112318"/>
    <s v="COP"/>
    <s v="3009"/>
    <s v="CO52001"/>
    <m/>
    <n v="47567015"/>
    <s v="Almacén"/>
    <n v="41756150"/>
    <x v="0"/>
    <m/>
    <m/>
    <m/>
    <m/>
  </r>
  <r>
    <x v="604"/>
    <s v="0"/>
    <x v="491"/>
    <d v="2025-05-21T00:00:00"/>
    <n v="4010300"/>
    <n v="-758112"/>
    <n v="3252188"/>
    <s v="COP"/>
    <s v="3009"/>
    <s v="CO52001"/>
    <m/>
    <n v="47567061"/>
    <s v="Diseno Transformadores Secos y Aceite"/>
    <n v="41756150"/>
    <x v="26"/>
    <m/>
    <m/>
    <m/>
    <m/>
  </r>
  <r>
    <x v="605"/>
    <s v="0"/>
    <x v="491"/>
    <d v="2025-05-21T00:00:00"/>
    <n v="4010300"/>
    <n v="-758112"/>
    <n v="3252188"/>
    <s v="COP"/>
    <s v="3009"/>
    <s v="CO52001"/>
    <m/>
    <n v="47567062"/>
    <s v="Diseno Transformadores Especiales y Potencia"/>
    <n v="41756150"/>
    <x v="26"/>
    <m/>
    <m/>
    <m/>
    <m/>
  </r>
  <r>
    <x v="606"/>
    <s v="0"/>
    <x v="491"/>
    <d v="2025-05-21T00:00:00"/>
    <n v="4010300"/>
    <n v="-758112"/>
    <n v="3252188"/>
    <s v="COP"/>
    <s v="3009"/>
    <s v="CO52001"/>
    <m/>
    <n v="47567061"/>
    <s v="Diseno Transformadores Secos y Aceite"/>
    <n v="41756150"/>
    <x v="26"/>
    <m/>
    <m/>
    <m/>
    <m/>
  </r>
  <r>
    <x v="607"/>
    <s v="0"/>
    <x v="492"/>
    <d v="2025-05-21T00:00:00"/>
    <n v="3296181"/>
    <n v="-623113"/>
    <n v="2673068"/>
    <s v="COP"/>
    <s v="3009"/>
    <s v="CO52001"/>
    <m/>
    <n v="47502031"/>
    <s v="Compras"/>
    <n v="41750150"/>
    <x v="5"/>
    <m/>
    <m/>
    <m/>
    <m/>
  </r>
  <r>
    <x v="608"/>
    <s v="0"/>
    <x v="493"/>
    <d v="2025-06-24T00:00:00"/>
    <n v="34956012"/>
    <n v="-2978444"/>
    <n v="31977568"/>
    <s v="COP"/>
    <s v="3009"/>
    <s v="CO41001"/>
    <m/>
    <n v="47544013"/>
    <s v="Esamble Tanques"/>
    <n v="41754150"/>
    <x v="13"/>
    <m/>
    <m/>
    <m/>
    <m/>
  </r>
  <r>
    <x v="609"/>
    <s v="0"/>
    <x v="494"/>
    <d v="2025-10-15T00:00:00"/>
    <n v="45896002"/>
    <n v="-2489701"/>
    <n v="43406301"/>
    <s v="COP"/>
    <s v="3009"/>
    <s v="CO41001"/>
    <m/>
    <n v="47544013"/>
    <s v="Esamble Tanques"/>
    <n v="41754150"/>
    <x v="14"/>
    <m/>
    <m/>
    <m/>
    <m/>
  </r>
  <r>
    <x v="610"/>
    <s v="0"/>
    <x v="495"/>
    <d v="2025-07-16T00:00:00"/>
    <n v="10914725"/>
    <n v="-1728414"/>
    <n v="9186311"/>
    <s v="COP"/>
    <s v="3009"/>
    <s v="CO52001"/>
    <m/>
    <n v="47567041"/>
    <s v="Planificación de la Producción y Control"/>
    <n v="41756150"/>
    <x v="25"/>
    <m/>
    <m/>
    <m/>
    <m/>
  </r>
  <r>
    <x v="611"/>
    <s v="0"/>
    <x v="496"/>
    <d v="2025-12-18T00:00:00"/>
    <n v="66666984"/>
    <n v="-4851364"/>
    <n v="61815620"/>
    <s v="COP"/>
    <s v="3009"/>
    <s v="CO46001"/>
    <m/>
    <n v="47544021"/>
    <s v="Devanados Seco DT, MF y MDF"/>
    <n v="41754150"/>
    <x v="31"/>
    <m/>
    <m/>
    <m/>
    <m/>
  </r>
  <r>
    <x v="612"/>
    <s v="0"/>
    <x v="497"/>
    <d v="2025-12-18T00:00:00"/>
    <n v="75345526"/>
    <n v="-5482902"/>
    <n v="69862624"/>
    <s v="COP"/>
    <s v="3009"/>
    <s v="CO46001"/>
    <m/>
    <n v="47544021"/>
    <s v="Devanados Seco DT, MF y MDF"/>
    <n v="41754150"/>
    <x v="31"/>
    <m/>
    <m/>
    <m/>
    <m/>
  </r>
  <r>
    <x v="613"/>
    <s v="0"/>
    <x v="498"/>
    <d v="2025-06-23T00:00:00"/>
    <n v="9686600"/>
    <n v="-1656010"/>
    <n v="8030590"/>
    <s v="COP"/>
    <s v="3009"/>
    <s v="CO52001"/>
    <m/>
    <n v="47567063"/>
    <s v="Diseno Mecanico"/>
    <n v="41756150"/>
    <x v="26"/>
    <m/>
    <m/>
    <m/>
    <m/>
  </r>
  <r>
    <x v="614"/>
    <s v="0"/>
    <x v="499"/>
    <d v="2025-06-23T00:00:00"/>
    <n v="9686600"/>
    <n v="-1656010"/>
    <n v="8030590"/>
    <s v="COP"/>
    <s v="3009"/>
    <s v="CO52001"/>
    <m/>
    <n v="47567063"/>
    <s v="Diseno Mecanico"/>
    <n v="41756150"/>
    <x v="26"/>
    <m/>
    <m/>
    <m/>
    <m/>
  </r>
  <r>
    <x v="615"/>
    <s v="0"/>
    <x v="500"/>
    <d v="2025-06-24T00:00:00"/>
    <n v="5065830"/>
    <n v="-863273"/>
    <n v="4202557"/>
    <s v="COP"/>
    <s v="3009"/>
    <s v="CO52001"/>
    <m/>
    <n v="47500000"/>
    <s v="GER. GENERAL WCO-WTD"/>
    <n v="41750150"/>
    <x v="5"/>
    <m/>
    <m/>
    <m/>
    <m/>
  </r>
  <r>
    <x v="616"/>
    <s v="0"/>
    <x v="501"/>
    <d v="2025-01-31T00:00:00"/>
    <n v="26288678"/>
    <n v="-3277081"/>
    <n v="23011597"/>
    <s v="COP"/>
    <s v="3009"/>
    <s v="CO41001"/>
    <m/>
    <n v="47544021"/>
    <s v="Devanados Seco DT, MF y MDF"/>
    <n v="41754150"/>
    <x v="31"/>
    <m/>
    <m/>
    <m/>
    <m/>
  </r>
  <r>
    <x v="617"/>
    <s v="0"/>
    <x v="502"/>
    <d v="2026-02-03T00:00:00"/>
    <n v="28058640"/>
    <n v="-668795"/>
    <n v="27389845"/>
    <s v="COP"/>
    <s v="3009"/>
    <s v="CO41001"/>
    <m/>
    <n v="47544021"/>
    <s v="Devanados Seco DT, MF y MDF"/>
    <n v="41754150"/>
    <x v="31"/>
    <m/>
    <m/>
    <m/>
    <m/>
  </r>
  <r>
    <x v="618"/>
    <s v="0"/>
    <x v="503"/>
    <d v="2025-07-30T00:00:00"/>
    <n v="3326050"/>
    <n v="-501185"/>
    <n v="2824865"/>
    <s v="COP"/>
    <s v="3009"/>
    <s v="CO52001"/>
    <m/>
    <n v="47544010"/>
    <s v="GER. PRODUCCIÓN"/>
    <n v="41754150"/>
    <x v="5"/>
    <m/>
    <m/>
    <m/>
    <m/>
  </r>
  <r>
    <x v="619"/>
    <s v="0"/>
    <x v="503"/>
    <d v="2025-07-30T00:00:00"/>
    <n v="3326050"/>
    <n v="-501185"/>
    <n v="2824865"/>
    <s v="COP"/>
    <s v="3009"/>
    <s v="CO52001"/>
    <m/>
    <n v="47502031"/>
    <s v="Compras"/>
    <n v="41750150"/>
    <x v="5"/>
    <m/>
    <m/>
    <m/>
    <m/>
  </r>
  <r>
    <x v="620"/>
    <s v="0"/>
    <x v="503"/>
    <d v="2025-08-01T00:00:00"/>
    <n v="3326050"/>
    <n v="-497540"/>
    <n v="2828510"/>
    <s v="COP"/>
    <s v="3009"/>
    <s v="CO52001"/>
    <m/>
    <n v="47544010"/>
    <s v="GER. PRODUCCIÓN"/>
    <n v="41754150"/>
    <x v="5"/>
    <m/>
    <m/>
    <m/>
    <m/>
  </r>
  <r>
    <x v="621"/>
    <s v="0"/>
    <x v="504"/>
    <d v="2025-08-13T00:00:00"/>
    <n v="3326050"/>
    <n v="-475671"/>
    <n v="2850379"/>
    <s v="COP"/>
    <s v="3009"/>
    <s v="CO52001"/>
    <m/>
    <n v="47500041"/>
    <s v="Contabilidad y Costos"/>
    <n v="41750150"/>
    <x v="5"/>
    <m/>
    <m/>
    <m/>
    <m/>
  </r>
  <r>
    <x v="622"/>
    <s v="0"/>
    <x v="505"/>
    <d v="2026-03-13T00:00:00"/>
    <n v="76253406"/>
    <n v="-1023676"/>
    <n v="75229730"/>
    <s v="COP"/>
    <s v="3009"/>
    <s v="CO41001"/>
    <m/>
    <n v="47544021"/>
    <s v="Devanados Seco DT, MF y MDF"/>
    <n v="41754150"/>
    <x v="22"/>
    <m/>
    <m/>
    <m/>
    <m/>
  </r>
  <r>
    <x v="623"/>
    <s v="0"/>
    <x v="506"/>
    <d v="2025-09-30T00:00:00"/>
    <n v="57343498"/>
    <n v="-3346347"/>
    <n v="53997151"/>
    <s v="COP"/>
    <s v="3009"/>
    <s v="CO41001"/>
    <m/>
    <n v="47544013"/>
    <s v="Esamble Tanques"/>
    <n v="41754150"/>
    <x v="23"/>
    <m/>
    <m/>
    <m/>
    <m/>
  </r>
  <r>
    <x v="624"/>
    <s v="0"/>
    <x v="507"/>
    <d v="2026-01-19T00:00:00"/>
    <n v="125513811"/>
    <n v="-3507509"/>
    <n v="122006302"/>
    <s v="COP"/>
    <s v="3009"/>
    <s v="CO41001"/>
    <m/>
    <n v="47544013"/>
    <s v="Esamble Tanques"/>
    <n v="41754150"/>
    <x v="23"/>
    <m/>
    <m/>
    <m/>
    <m/>
  </r>
  <r>
    <x v="625"/>
    <s v="0"/>
    <x v="508"/>
    <d v="2025-10-30T00:00:00"/>
    <n v="3549774"/>
    <n v="-355950"/>
    <n v="3193824"/>
    <s v="COP"/>
    <s v="3009"/>
    <s v="CO52001"/>
    <m/>
    <n v="47567041"/>
    <s v="Planificación de la Producción y Control"/>
    <n v="41756150"/>
    <x v="25"/>
    <m/>
    <m/>
    <m/>
    <m/>
  </r>
  <r>
    <x v="626"/>
    <s v="0"/>
    <x v="509"/>
    <d v="2025-10-06T00:00:00"/>
    <n v="12378380"/>
    <n v="-1404014"/>
    <n v="10974366"/>
    <s v="COP"/>
    <s v="3009"/>
    <s v="CO52001"/>
    <m/>
    <n v="47567010"/>
    <s v="GER. ENGENIERÍA INDUSTRIAL"/>
    <n v="41756150"/>
    <x v="26"/>
    <m/>
    <m/>
    <m/>
    <m/>
  </r>
  <r>
    <x v="627"/>
    <s v="0"/>
    <x v="510"/>
    <d v="2025-09-18T00:00:00"/>
    <n v="3201100"/>
    <n v="-394656"/>
    <n v="2806444"/>
    <s v="COP"/>
    <s v="3009"/>
    <s v="CO52001"/>
    <m/>
    <n v="47567015"/>
    <s v="Almacén"/>
    <n v="41756150"/>
    <x v="0"/>
    <m/>
    <m/>
    <m/>
    <m/>
  </r>
  <r>
    <x v="628"/>
    <s v="0"/>
    <x v="510"/>
    <d v="2025-09-18T00:00:00"/>
    <n v="3201100"/>
    <n v="-394656"/>
    <n v="2806444"/>
    <s v="COP"/>
    <s v="3009"/>
    <s v="CO52001"/>
    <m/>
    <n v="47567015"/>
    <s v="Almacén"/>
    <n v="41756150"/>
    <x v="0"/>
    <m/>
    <m/>
    <m/>
    <m/>
  </r>
  <r>
    <x v="629"/>
    <s v="0"/>
    <x v="510"/>
    <d v="2025-09-18T00:00:00"/>
    <n v="3201100"/>
    <n v="-394656"/>
    <n v="2806444"/>
    <s v="COP"/>
    <s v="3009"/>
    <s v="CO52001"/>
    <m/>
    <n v="47567015"/>
    <s v="Almacén"/>
    <n v="41756150"/>
    <x v="0"/>
    <m/>
    <m/>
    <m/>
    <m/>
  </r>
  <r>
    <x v="630"/>
    <s v="0"/>
    <x v="511"/>
    <d v="2025-10-15T00:00:00"/>
    <n v="9805600"/>
    <n v="-1063841"/>
    <n v="8741759"/>
    <s v="COP"/>
    <s v="3009"/>
    <s v="CO52001"/>
    <m/>
    <n v="47500000"/>
    <s v="GER. GENERAL WCO-WTD"/>
    <n v="41750150"/>
    <x v="5"/>
    <m/>
    <m/>
    <m/>
    <m/>
  </r>
  <r>
    <x v="631"/>
    <s v="0"/>
    <x v="512"/>
    <d v="2025-10-14T00:00:00"/>
    <n v="57120000"/>
    <n v="-3114214"/>
    <n v="54005786"/>
    <s v="COP"/>
    <s v="3009"/>
    <s v="CO41001"/>
    <m/>
    <n v="47544013"/>
    <s v="Esamble Tanques"/>
    <n v="41754150"/>
    <x v="13"/>
    <m/>
    <m/>
    <m/>
    <m/>
  </r>
  <r>
    <x v="632"/>
    <s v="0"/>
    <x v="513"/>
    <d v="2025-10-30T00:00:00"/>
    <n v="10186400"/>
    <n v="-1021431"/>
    <n v="9164969"/>
    <s v="COP"/>
    <s v="3009"/>
    <s v="CO52001"/>
    <m/>
    <n v="47567061"/>
    <s v="Diseno Transformadores Secos y Aceite"/>
    <n v="41756150"/>
    <x v="26"/>
    <m/>
    <m/>
    <m/>
    <m/>
  </r>
  <r>
    <x v="633"/>
    <s v="0"/>
    <x v="514"/>
    <d v="2025-12-04T00:00:00"/>
    <n v="242491536"/>
    <n v="-9832533"/>
    <n v="232659003"/>
    <s v="COP"/>
    <s v="3009"/>
    <s v="CO41001"/>
    <m/>
    <n v="47567101"/>
    <s v="Mantenimiento"/>
    <n v="41756150"/>
    <x v="28"/>
    <m/>
    <m/>
    <m/>
    <m/>
  </r>
  <r>
    <x v="634"/>
    <s v="0"/>
    <x v="515"/>
    <d v="2025-10-28T00:00:00"/>
    <n v="10124520"/>
    <n v="-438267"/>
    <n v="9686253"/>
    <s v="COP"/>
    <s v="3009"/>
    <s v="CO52001"/>
    <m/>
    <n v="47567063"/>
    <s v="Diseno Mecanico"/>
    <n v="41756150"/>
    <x v="26"/>
    <m/>
    <m/>
    <m/>
    <m/>
  </r>
  <r>
    <x v="635"/>
    <s v="0"/>
    <x v="516"/>
    <d v="2025-12-17T00:00:00"/>
    <n v="9768000"/>
    <n v="-361282"/>
    <n v="9406718"/>
    <s v="COP"/>
    <s v="3009"/>
    <s v="CO41001"/>
    <m/>
    <n v="47544018"/>
    <s v="Devanados Encapsulados"/>
    <n v="41754150"/>
    <x v="23"/>
    <m/>
    <m/>
    <m/>
    <m/>
  </r>
  <r>
    <x v="636"/>
    <s v="0"/>
    <x v="517"/>
    <d v="2026-01-26T00:00:00"/>
    <n v="4105500"/>
    <n v="-213711"/>
    <n v="3891789"/>
    <s v="COP"/>
    <s v="3009"/>
    <s v="CO52001"/>
    <m/>
    <n v="47567064"/>
    <s v="Pruebas"/>
    <n v="41756150"/>
    <x v="3"/>
    <m/>
    <m/>
    <m/>
    <m/>
  </r>
  <r>
    <x v="637"/>
    <s v="0"/>
    <x v="518"/>
    <d v="2026-02-09T00:00:00"/>
    <n v="3403400"/>
    <n v="-151055"/>
    <n v="3252345"/>
    <s v="COP"/>
    <s v="3009"/>
    <s v="CO52001"/>
    <m/>
    <n v="47567041"/>
    <s v="Planificación de la Producción y Control"/>
    <n v="41756150"/>
    <x v="25"/>
    <m/>
    <m/>
    <m/>
    <m/>
  </r>
  <r>
    <x v="638"/>
    <s v="0"/>
    <x v="519"/>
    <d v="2026-02-09T00:00:00"/>
    <n v="3403400"/>
    <n v="-151055"/>
    <n v="3252345"/>
    <s v="COP"/>
    <s v="3009"/>
    <s v="CO52001"/>
    <m/>
    <n v="47502021"/>
    <s v="Servicio Médico, Seguridad y Higiene"/>
    <n v="41750150"/>
    <x v="5"/>
    <m/>
    <m/>
    <m/>
    <m/>
  </r>
  <r>
    <x v="639"/>
    <s v="0"/>
    <x v="520"/>
    <d v="2026-02-09T00:00:00"/>
    <n v="3403400"/>
    <n v="-151055"/>
    <n v="3252345"/>
    <s v="COP"/>
    <s v="3009"/>
    <s v="CO52001"/>
    <m/>
    <n v="47567041"/>
    <s v="Planificación de la Producción y Control"/>
    <n v="41756150"/>
    <x v="25"/>
    <m/>
    <m/>
    <m/>
    <m/>
  </r>
  <r>
    <x v="640"/>
    <s v="0"/>
    <x v="521"/>
    <d v="2026-03-13T00:00:00"/>
    <n v="13903424"/>
    <n v="-186649"/>
    <n v="13716775"/>
    <s v="COP"/>
    <s v="3009"/>
    <s v="CO41001"/>
    <m/>
    <n v="47544018"/>
    <s v="Devanados Encapsulados"/>
    <n v="41754150"/>
    <x v="7"/>
    <m/>
    <m/>
    <m/>
    <m/>
  </r>
  <r>
    <x v="641"/>
    <s v="0"/>
    <x v="522"/>
    <d v="2026-04-06T00:00:00"/>
    <n v="3783010"/>
    <n v="-51822"/>
    <n v="3731188"/>
    <s v="COP"/>
    <s v="3009"/>
    <s v="CO52001"/>
    <m/>
    <n v="47567041"/>
    <s v="Planificación de la Producción y Control"/>
    <n v="41756150"/>
    <x v="25"/>
    <m/>
    <m/>
    <m/>
    <m/>
  </r>
  <r>
    <x v="642"/>
    <s v="0"/>
    <x v="523"/>
    <d v="2026-04-06T00:00:00"/>
    <n v="3783010"/>
    <n v="-51822"/>
    <n v="3731188"/>
    <s v="COP"/>
    <s v="3009"/>
    <s v="CO52001"/>
    <m/>
    <n v="47500021"/>
    <s v="Recursos Humanos "/>
    <n v="41750150"/>
    <x v="5"/>
    <m/>
    <m/>
    <m/>
    <m/>
  </r>
  <r>
    <x v="643"/>
    <s v="0"/>
    <x v="524"/>
    <d v="2026-04-06T00:00:00"/>
    <n v="3783010"/>
    <n v="-51822"/>
    <n v="3731188"/>
    <s v="COP"/>
    <s v="3009"/>
    <s v="CO52001"/>
    <m/>
    <n v="47511021"/>
    <s v="Ventas Oil &amp; Gas"/>
    <n v="41751150"/>
    <x v="30"/>
    <m/>
    <m/>
    <m/>
    <m/>
  </r>
  <r>
    <x v="644"/>
    <s v="0"/>
    <x v="525"/>
    <d v="2026-04-06T00:00:00"/>
    <n v="3783010"/>
    <n v="-51822"/>
    <n v="3731188"/>
    <s v="COP"/>
    <s v="3009"/>
    <s v="CO52001"/>
    <m/>
    <n v="47511023"/>
    <s v="Ventas Centro"/>
    <n v="41751150"/>
    <x v="30"/>
    <m/>
    <m/>
    <m/>
    <m/>
  </r>
  <r>
    <x v="645"/>
    <s v="0"/>
    <x v="526"/>
    <d v="2026-04-12T00:00:00"/>
    <n v="3783010"/>
    <n v="-39385"/>
    <n v="3743625"/>
    <s v="COP"/>
    <s v="3009"/>
    <s v="CO52001"/>
    <m/>
    <n v="47544010"/>
    <s v="GER. PRODUCCIÓN"/>
    <n v="41754150"/>
    <x v="5"/>
    <m/>
    <m/>
    <m/>
    <m/>
  </r>
  <r>
    <x v="646"/>
    <s v="0"/>
    <x v="527"/>
    <d v="2026-04-12T00:00:00"/>
    <n v="3783010"/>
    <n v="-39385"/>
    <n v="3743625"/>
    <s v="COP"/>
    <s v="3009"/>
    <s v="CO52001"/>
    <m/>
    <n v="47567102"/>
    <s v="Processos"/>
    <n v="41756150"/>
    <x v="29"/>
    <m/>
    <m/>
    <m/>
    <m/>
  </r>
  <r>
    <x v="647"/>
    <s v="0"/>
    <x v="528"/>
    <d v="2026-04-16T00:00:00"/>
    <n v="3451000"/>
    <n v="-28364"/>
    <n v="3422636"/>
    <s v="COP"/>
    <s v="3009"/>
    <s v="CO52001"/>
    <m/>
    <n v="47502031"/>
    <s v="Compras"/>
    <n v="41750150"/>
    <x v="5"/>
    <m/>
    <m/>
    <m/>
    <m/>
  </r>
  <r>
    <x v="648"/>
    <s v="0"/>
    <x v="529"/>
    <d v="2026-04-16T00:00:00"/>
    <n v="13328000"/>
    <n v="-109545"/>
    <n v="13218455"/>
    <s v="COP"/>
    <s v="3009"/>
    <s v="CO52001"/>
    <m/>
    <n v="47567063"/>
    <s v="Diseno Mecanico"/>
    <n v="41756150"/>
    <x v="26"/>
    <m/>
    <m/>
    <m/>
    <m/>
  </r>
  <r>
    <x v="649"/>
    <s v="0"/>
    <x v="529"/>
    <d v="2026-04-16T00:00:00"/>
    <n v="13328000"/>
    <n v="-109545"/>
    <n v="13218455"/>
    <s v="COP"/>
    <s v="3009"/>
    <s v="CO52001"/>
    <m/>
    <n v="47567063"/>
    <s v="Diseno Mecanico"/>
    <n v="41756150"/>
    <x v="26"/>
    <m/>
    <m/>
    <m/>
    <m/>
  </r>
  <r>
    <x v="650"/>
    <s v="0"/>
    <x v="529"/>
    <d v="2026-04-16T00:00:00"/>
    <n v="13328000"/>
    <n v="-109545"/>
    <n v="13218455"/>
    <s v="COP"/>
    <s v="3009"/>
    <s v="CO52001"/>
    <m/>
    <n v="47567063"/>
    <s v="Diseno Mecanico"/>
    <n v="41756150"/>
    <x v="26"/>
    <m/>
    <m/>
    <m/>
    <m/>
  </r>
  <r>
    <x v="651"/>
    <s v="0"/>
    <x v="529"/>
    <d v="2026-04-16T00:00:00"/>
    <n v="13328000"/>
    <n v="-109545"/>
    <n v="13218455"/>
    <s v="COP"/>
    <s v="3009"/>
    <s v="CO52001"/>
    <m/>
    <n v="47567063"/>
    <s v="Diseno Mecanico"/>
    <n v="41756150"/>
    <x v="26"/>
    <m/>
    <m/>
    <m/>
    <m/>
  </r>
  <r>
    <x v="652"/>
    <s v="0"/>
    <x v="530"/>
    <d v="2015-01-01T00:00:00"/>
    <n v="300000"/>
    <n v="-300000"/>
    <n v="0"/>
    <s v="COP"/>
    <s v="3009"/>
    <s v="CO42001"/>
    <m/>
    <n v="47544032"/>
    <s v="Laboratório Aceite, Encapasuldo y Seco &gt;300 kVA"/>
    <n v="41754150"/>
    <x v="3"/>
    <m/>
    <m/>
    <m/>
    <m/>
  </r>
  <r>
    <x v="653"/>
    <s v="0"/>
    <x v="531"/>
    <d v="2015-01-01T00:00:00"/>
    <n v="350000"/>
    <n v="-350000"/>
    <n v="0"/>
    <s v="COP"/>
    <s v="3009"/>
    <s v="CO42001"/>
    <m/>
    <n v="47544032"/>
    <s v="Laboratório Aceite, Encapasuldo y Seco &gt;300 kVA"/>
    <n v="41754150"/>
    <x v="3"/>
    <m/>
    <m/>
    <m/>
    <m/>
  </r>
  <r>
    <x v="654"/>
    <s v="0"/>
    <x v="531"/>
    <d v="2015-01-01T00:00:00"/>
    <n v="350000"/>
    <n v="-350000"/>
    <n v="0"/>
    <s v="COP"/>
    <s v="3009"/>
    <s v="CO42001"/>
    <m/>
    <n v="47544032"/>
    <s v="Laboratório Aceite, Encapasuldo y Seco &gt;300 kVA"/>
    <n v="41754150"/>
    <x v="3"/>
    <m/>
    <m/>
    <m/>
    <m/>
  </r>
  <r>
    <x v="655"/>
    <s v="0"/>
    <x v="531"/>
    <d v="2015-01-01T00:00:00"/>
    <n v="350000"/>
    <n v="-350000"/>
    <n v="0"/>
    <s v="COP"/>
    <s v="3009"/>
    <s v="CO42001"/>
    <m/>
    <n v="47544032"/>
    <s v="Laboratório Aceite, Encapasuldo y Seco &gt;300 kVA"/>
    <n v="41754150"/>
    <x v="3"/>
    <m/>
    <m/>
    <m/>
    <m/>
  </r>
  <r>
    <x v="656"/>
    <s v="0"/>
    <x v="531"/>
    <d v="2015-01-01T00:00:00"/>
    <n v="350000"/>
    <n v="-350000"/>
    <n v="0"/>
    <s v="COP"/>
    <s v="3009"/>
    <s v="CO42001"/>
    <m/>
    <n v="47544032"/>
    <s v="Laboratório Aceite, Encapasuldo y Seco &gt;300 kVA"/>
    <n v="41754150"/>
    <x v="3"/>
    <m/>
    <m/>
    <m/>
    <m/>
  </r>
  <r>
    <x v="657"/>
    <s v="0"/>
    <x v="532"/>
    <d v="2015-01-01T00:00:00"/>
    <n v="500000"/>
    <n v="-500000"/>
    <n v="0"/>
    <s v="COP"/>
    <s v="3009"/>
    <s v="CO42001"/>
    <m/>
    <n v="47544032"/>
    <s v="Laboratório Aceite, Encapasuldo y Seco &gt;300 kVA"/>
    <n v="41754150"/>
    <x v="3"/>
    <m/>
    <m/>
    <m/>
    <m/>
  </r>
  <r>
    <x v="658"/>
    <s v="0"/>
    <x v="533"/>
    <d v="2015-01-01T00:00:00"/>
    <n v="500000"/>
    <n v="-500000"/>
    <n v="0"/>
    <s v="COP"/>
    <s v="3009"/>
    <s v="CO42001"/>
    <m/>
    <n v="47544032"/>
    <s v="Laboratório Aceite, Encapasuldo y Seco &gt;300 kVA"/>
    <n v="41754150"/>
    <x v="3"/>
    <m/>
    <m/>
    <m/>
    <m/>
  </r>
  <r>
    <x v="659"/>
    <s v="0"/>
    <x v="534"/>
    <d v="2015-01-01T00:00:00"/>
    <n v="500000"/>
    <n v="-500000"/>
    <n v="0"/>
    <s v="COP"/>
    <s v="3009"/>
    <s v="CO42001"/>
    <m/>
    <n v="47544032"/>
    <s v="Laboratório Aceite, Encapasuldo y Seco &gt;300 kVA"/>
    <n v="41754150"/>
    <x v="3"/>
    <m/>
    <m/>
    <m/>
    <m/>
  </r>
  <r>
    <x v="660"/>
    <s v="0"/>
    <x v="535"/>
    <d v="2015-01-01T00:00:00"/>
    <n v="850000"/>
    <n v="-850000"/>
    <n v="0"/>
    <s v="COP"/>
    <s v="3009"/>
    <s v="CO42001"/>
    <m/>
    <n v="47544032"/>
    <s v="Laboratório Aceite, Encapasuldo y Seco &gt;300 kVA"/>
    <n v="41754150"/>
    <x v="3"/>
    <m/>
    <m/>
    <m/>
    <m/>
  </r>
  <r>
    <x v="661"/>
    <s v="0"/>
    <x v="536"/>
    <d v="2015-01-01T00:00:00"/>
    <n v="1500000"/>
    <n v="-1500000"/>
    <n v="0"/>
    <s v="COP"/>
    <s v="3009"/>
    <s v="CO42001"/>
    <m/>
    <n v="47544032"/>
    <s v="Laboratório Aceite, Encapasuldo y Seco &gt;300 kVA"/>
    <n v="41754150"/>
    <x v="3"/>
    <m/>
    <m/>
    <m/>
    <m/>
  </r>
  <r>
    <x v="662"/>
    <s v="0"/>
    <x v="537"/>
    <d v="2015-01-01T00:00:00"/>
    <n v="1500000"/>
    <n v="-1500000"/>
    <n v="0"/>
    <s v="COP"/>
    <s v="3009"/>
    <s v="CO42001"/>
    <m/>
    <n v="47544032"/>
    <s v="Laboratório Aceite, Encapasuldo y Seco &gt;300 kVA"/>
    <n v="41754150"/>
    <x v="3"/>
    <m/>
    <m/>
    <m/>
    <m/>
  </r>
  <r>
    <x v="663"/>
    <s v="0"/>
    <x v="538"/>
    <d v="2015-01-01T00:00:00"/>
    <n v="1950000"/>
    <n v="-1950000"/>
    <n v="0"/>
    <s v="COP"/>
    <s v="3009"/>
    <s v="CO42001"/>
    <m/>
    <n v="47544032"/>
    <s v="Laboratório Aceite, Encapasuldo y Seco &gt;300 kVA"/>
    <n v="41754150"/>
    <x v="3"/>
    <m/>
    <m/>
    <m/>
    <m/>
  </r>
  <r>
    <x v="664"/>
    <s v="0"/>
    <x v="539"/>
    <d v="2015-01-01T00:00:00"/>
    <n v="10000000"/>
    <n v="-10000000"/>
    <n v="0"/>
    <s v="COP"/>
    <s v="3009"/>
    <s v="CO42001"/>
    <m/>
    <n v="47544032"/>
    <s v="Laboratório Aceite, Encapasuldo y Seco &gt;300 kVA"/>
    <n v="41754150"/>
    <x v="3"/>
    <m/>
    <m/>
    <m/>
    <m/>
  </r>
  <r>
    <x v="665"/>
    <s v="0"/>
    <x v="540"/>
    <d v="2015-01-01T00:00:00"/>
    <n v="10000000"/>
    <n v="-10000000"/>
    <n v="0"/>
    <s v="COP"/>
    <s v="3009"/>
    <s v="CO42001"/>
    <m/>
    <n v="47544032"/>
    <s v="Laboratório Aceite, Encapasuldo y Seco &gt;300 kVA"/>
    <n v="41754150"/>
    <x v="3"/>
    <m/>
    <m/>
    <m/>
    <m/>
  </r>
  <r>
    <x v="666"/>
    <s v="0"/>
    <x v="541"/>
    <d v="2015-01-01T00:00:00"/>
    <n v="27900000"/>
    <n v="-27900000"/>
    <n v="0"/>
    <s v="COP"/>
    <s v="3009"/>
    <s v="CO42001"/>
    <m/>
    <n v="47544032"/>
    <s v="Laboratório Aceite, Encapasuldo y Seco &gt;300 kVA"/>
    <n v="41754150"/>
    <x v="3"/>
    <m/>
    <m/>
    <m/>
    <m/>
  </r>
  <r>
    <x v="667"/>
    <s v="0"/>
    <x v="542"/>
    <d v="2015-01-01T00:00:00"/>
    <n v="34000000"/>
    <n v="-32478540"/>
    <n v="1521460"/>
    <s v="COP"/>
    <s v="3009"/>
    <s v="CO42001"/>
    <m/>
    <n v="47544032"/>
    <s v="Laboratório Aceite, Encapasuldo y Seco &gt;300 kVA"/>
    <n v="41754150"/>
    <x v="3"/>
    <m/>
    <m/>
    <m/>
    <m/>
  </r>
  <r>
    <x v="668"/>
    <s v="0"/>
    <x v="543"/>
    <d v="2015-01-01T00:00:00"/>
    <n v="150575051"/>
    <n v="-129153513"/>
    <n v="21421538"/>
    <s v="COP"/>
    <s v="3009"/>
    <s v="CO42001"/>
    <m/>
    <n v="47544032"/>
    <s v="Laboratório Aceite, Encapasuldo y Seco &gt;300 kVA"/>
    <n v="41754150"/>
    <x v="3"/>
    <m/>
    <m/>
    <m/>
    <m/>
  </r>
  <r>
    <x v="669"/>
    <s v="0"/>
    <x v="544"/>
    <d v="2023-10-31T00:00:00"/>
    <n v="2361369"/>
    <n v="0"/>
    <n v="2361369"/>
    <s v="COP"/>
    <s v="3009"/>
    <s v="CO92002"/>
    <m/>
    <n v="47544015"/>
    <s v="Corte Silicio"/>
    <n v="41754150"/>
    <x v="6"/>
    <m/>
    <m/>
    <m/>
    <m/>
  </r>
  <r>
    <x v="670"/>
    <s v="0"/>
    <x v="545"/>
    <d v="2025-03-31T00:00:00"/>
    <n v="209560574"/>
    <n v="0"/>
    <n v="209560574"/>
    <s v="COP"/>
    <s v="3009"/>
    <s v="CO92002"/>
    <m/>
    <n v="47544013"/>
    <s v="Esamble Tanques"/>
    <n v="41754150"/>
    <x v="1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3B4E4-CEB2-40D7-AE03-AC2DE0009EE0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697" firstHeaderRow="1" firstDataRow="1" firstDataCol="3"/>
  <pivotFields count="19">
    <pivotField axis="axisRow" compact="0" outline="0" showAll="0" defaultSubtotal="0">
      <items count="671">
        <item x="425"/>
        <item x="4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</items>
    </pivotField>
    <pivotField compact="0" outline="0" showAll="0" defaultSubtotal="0"/>
    <pivotField axis="axisRow" compact="0" outline="0" showAll="0" defaultSubtotal="0">
      <items count="546">
        <item x="496"/>
        <item x="497"/>
        <item x="328"/>
        <item x="329"/>
        <item x="136"/>
        <item x="212"/>
        <item x="151"/>
        <item x="146"/>
        <item x="153"/>
        <item x="331"/>
        <item x="315"/>
        <item x="95"/>
        <item x="402"/>
        <item x="14"/>
        <item x="81"/>
        <item x="36"/>
        <item x="398"/>
        <item x="112"/>
        <item x="356"/>
        <item x="273"/>
        <item x="303"/>
        <item x="379"/>
        <item x="394"/>
        <item x="380"/>
        <item x="42"/>
        <item x="47"/>
        <item x="83"/>
        <item x="400"/>
        <item x="108"/>
        <item x="274"/>
        <item x="84"/>
        <item x="542"/>
        <item x="116"/>
        <item x="105"/>
        <item x="142"/>
        <item x="169"/>
        <item x="170"/>
        <item x="152"/>
        <item x="148"/>
        <item x="143"/>
        <item x="150"/>
        <item x="134"/>
        <item x="145"/>
        <item x="144"/>
        <item x="137"/>
        <item x="161"/>
        <item x="162"/>
        <item x="172"/>
        <item x="157"/>
        <item x="173"/>
        <item x="285"/>
        <item x="130"/>
        <item x="494"/>
        <item x="233"/>
        <item x="25"/>
        <item x="185"/>
        <item x="193"/>
        <item x="40"/>
        <item x="441"/>
        <item x="210"/>
        <item x="41"/>
        <item x="63"/>
        <item x="5"/>
        <item x="127"/>
        <item x="62"/>
        <item x="198"/>
        <item x="109"/>
        <item x="316"/>
        <item x="237"/>
        <item x="30"/>
        <item x="214"/>
        <item x="472"/>
        <item x="236"/>
        <item x="239"/>
        <item x="243"/>
        <item x="16"/>
        <item x="480"/>
        <item x="223"/>
        <item x="23"/>
        <item x="435"/>
        <item x="260"/>
        <item x="256"/>
        <item x="284"/>
        <item x="485"/>
        <item x="238"/>
        <item x="479"/>
        <item x="33"/>
        <item x="360"/>
        <item x="465"/>
        <item x="430"/>
        <item x="514"/>
        <item x="545"/>
        <item x="79"/>
        <item x="359"/>
        <item x="292"/>
        <item x="385"/>
        <item x="425"/>
        <item x="378"/>
        <item x="332"/>
        <item x="69"/>
        <item x="495"/>
        <item x="205"/>
        <item x="367"/>
        <item x="103"/>
        <item x="361"/>
        <item x="270"/>
        <item x="55"/>
        <item x="58"/>
        <item x="508"/>
        <item x="454"/>
        <item x="216"/>
        <item x="206"/>
        <item x="305"/>
        <item x="165"/>
        <item x="252"/>
        <item x="126"/>
        <item x="370"/>
        <item x="368"/>
        <item x="397"/>
        <item x="399"/>
        <item x="261"/>
        <item x="217"/>
        <item x="115"/>
        <item x="280"/>
        <item x="281"/>
        <item x="82"/>
        <item x="60"/>
        <item x="117"/>
        <item x="37"/>
        <item x="57"/>
        <item x="53"/>
        <item x="120"/>
        <item x="10"/>
        <item x="54"/>
        <item x="89"/>
        <item x="52"/>
        <item x="51"/>
        <item x="111"/>
        <item x="39"/>
        <item x="56"/>
        <item x="121"/>
        <item x="110"/>
        <item x="99"/>
        <item x="320"/>
        <item x="390"/>
        <item x="375"/>
        <item x="387"/>
        <item x="373"/>
        <item x="266"/>
        <item x="268"/>
        <item x="87"/>
        <item x="50"/>
        <item x="267"/>
        <item x="269"/>
        <item x="276"/>
        <item x="336"/>
        <item x="333"/>
        <item x="335"/>
        <item x="334"/>
        <item x="348"/>
        <item x="351"/>
        <item x="347"/>
        <item x="345"/>
        <item x="344"/>
        <item x="339"/>
        <item x="413"/>
        <item x="417"/>
        <item x="396"/>
        <item x="530"/>
        <item x="3"/>
        <item x="171"/>
        <item x="208"/>
        <item x="96"/>
        <item x="234"/>
        <item x="235"/>
        <item x="19"/>
        <item x="259"/>
        <item x="541"/>
        <item x="289"/>
        <item x="163"/>
        <item x="489"/>
        <item x="313"/>
        <item x="500"/>
        <item x="490"/>
        <item x="478"/>
        <item x="432"/>
        <item x="391"/>
        <item x="392"/>
        <item x="405"/>
        <item x="461"/>
        <item x="433"/>
        <item x="492"/>
        <item x="491"/>
        <item x="450"/>
        <item x="470"/>
        <item x="466"/>
        <item x="404"/>
        <item x="277"/>
        <item x="104"/>
        <item x="338"/>
        <item x="283"/>
        <item x="453"/>
        <item x="64"/>
        <item x="195"/>
        <item x="416"/>
        <item x="445"/>
        <item x="1"/>
        <item x="48"/>
        <item x="371"/>
        <item x="20"/>
        <item x="521"/>
        <item x="8"/>
        <item x="543"/>
        <item x="474"/>
        <item x="427"/>
        <item x="312"/>
        <item x="311"/>
        <item x="310"/>
        <item x="436"/>
        <item x="166"/>
        <item x="133"/>
        <item x="140"/>
        <item x="149"/>
        <item x="156"/>
        <item x="290"/>
        <item x="135"/>
        <item x="244"/>
        <item x="179"/>
        <item x="207"/>
        <item x="180"/>
        <item x="227"/>
        <item x="221"/>
        <item x="32"/>
        <item x="203"/>
        <item x="67"/>
        <item x="24"/>
        <item x="11"/>
        <item x="366"/>
        <item x="314"/>
        <item x="384"/>
        <item x="458"/>
        <item x="101"/>
        <item x="324"/>
        <item x="364"/>
        <item x="544"/>
        <item x="326"/>
        <item x="286"/>
        <item x="506"/>
        <item x="213"/>
        <item x="321"/>
        <item x="255"/>
        <item x="128"/>
        <item x="80"/>
        <item x="408"/>
        <item x="406"/>
        <item x="407"/>
        <item x="452"/>
        <item x="434"/>
        <item x="78"/>
        <item x="77"/>
        <item x="242"/>
        <item x="241"/>
        <item x="34"/>
        <item x="125"/>
        <item x="354"/>
        <item x="0"/>
        <item x="363"/>
        <item x="306"/>
        <item x="476"/>
        <item x="428"/>
        <item x="522"/>
        <item x="523"/>
        <item x="524"/>
        <item x="525"/>
        <item x="469"/>
        <item x="330"/>
        <item x="362"/>
        <item x="395"/>
        <item x="393"/>
        <item x="349"/>
        <item x="415"/>
        <item x="410"/>
        <item x="327"/>
        <item x="423"/>
        <item x="424"/>
        <item x="429"/>
        <item x="486"/>
        <item x="451"/>
        <item x="422"/>
        <item x="421"/>
        <item x="520"/>
        <item x="519"/>
        <item x="518"/>
        <item x="517"/>
        <item x="510"/>
        <item x="503"/>
        <item x="449"/>
        <item x="442"/>
        <item x="526"/>
        <item x="527"/>
        <item x="528"/>
        <item x="509"/>
        <item x="460"/>
        <item x="511"/>
        <item x="265"/>
        <item x="352"/>
        <item x="471"/>
        <item x="448"/>
        <item x="275"/>
        <item x="271"/>
        <item x="457"/>
        <item x="31"/>
        <item x="317"/>
        <item x="318"/>
        <item x="319"/>
        <item x="374"/>
        <item x="502"/>
        <item x="447"/>
        <item x="438"/>
        <item x="439"/>
        <item x="440"/>
        <item x="488"/>
        <item x="487"/>
        <item x="473"/>
        <item x="516"/>
        <item x="114"/>
        <item x="12"/>
        <item x="307"/>
        <item x="119"/>
        <item x="381"/>
        <item x="382"/>
        <item x="383"/>
        <item x="45"/>
        <item x="537"/>
        <item x="536"/>
        <item x="124"/>
        <item x="456"/>
        <item x="419"/>
        <item x="418"/>
        <item x="532"/>
        <item x="462"/>
        <item x="412"/>
        <item x="253"/>
        <item x="467"/>
        <item x="70"/>
        <item x="540"/>
        <item x="431"/>
        <item x="426"/>
        <item x="291"/>
        <item x="481"/>
        <item x="482"/>
        <item x="168"/>
        <item x="155"/>
        <item x="420"/>
        <item x="341"/>
        <item x="343"/>
        <item x="342"/>
        <item x="304"/>
        <item x="483"/>
        <item x="257"/>
        <item x="264"/>
        <item x="263"/>
        <item x="262"/>
        <item x="258"/>
        <item x="6"/>
        <item x="226"/>
        <item x="202"/>
        <item x="27"/>
        <item x="131"/>
        <item x="300"/>
        <item x="296"/>
        <item x="301"/>
        <item x="298"/>
        <item x="293"/>
        <item x="297"/>
        <item x="299"/>
        <item x="287"/>
        <item x="294"/>
        <item x="322"/>
        <item x="65"/>
        <item x="534"/>
        <item x="533"/>
        <item x="323"/>
        <item x="93"/>
        <item x="176"/>
        <item x="302"/>
        <item x="288"/>
        <item x="539"/>
        <item x="477"/>
        <item x="475"/>
        <item x="505"/>
        <item x="468"/>
        <item x="61"/>
        <item x="386"/>
        <item x="538"/>
        <item x="531"/>
        <item x="389"/>
        <item x="139"/>
        <item x="138"/>
        <item x="118"/>
        <item x="251"/>
        <item x="21"/>
        <item x="230"/>
        <item x="102"/>
        <item x="308"/>
        <item x="309"/>
        <item x="504"/>
        <item x="376"/>
        <item x="409"/>
        <item x="35"/>
        <item x="199"/>
        <item x="248"/>
        <item x="106"/>
        <item x="4"/>
        <item x="247"/>
        <item x="38"/>
        <item x="246"/>
        <item x="411"/>
        <item x="249"/>
        <item x="250"/>
        <item x="15"/>
        <item x="232"/>
        <item x="245"/>
        <item x="231"/>
        <item x="403"/>
        <item x="107"/>
        <item x="459"/>
        <item x="228"/>
        <item x="215"/>
        <item x="444"/>
        <item x="88"/>
        <item x="43"/>
        <item x="295"/>
        <item x="72"/>
        <item x="278"/>
        <item x="279"/>
        <item x="26"/>
        <item x="358"/>
        <item x="13"/>
        <item x="28"/>
        <item x="94"/>
        <item x="164"/>
        <item x="414"/>
        <item x="85"/>
        <item x="86"/>
        <item x="44"/>
        <item x="388"/>
        <item x="75"/>
        <item x="204"/>
        <item x="369"/>
        <item x="225"/>
        <item x="365"/>
        <item x="282"/>
        <item x="178"/>
        <item x="147"/>
        <item x="175"/>
        <item x="167"/>
        <item x="196"/>
        <item x="181"/>
        <item x="141"/>
        <item x="254"/>
        <item x="174"/>
        <item x="113"/>
        <item x="59"/>
        <item x="7"/>
        <item x="9"/>
        <item x="129"/>
        <item x="325"/>
        <item x="355"/>
        <item x="18"/>
        <item x="464"/>
        <item x="220"/>
        <item x="71"/>
        <item x="29"/>
        <item x="17"/>
        <item x="512"/>
        <item x="74"/>
        <item x="73"/>
        <item x="66"/>
        <item x="218"/>
        <item x="224"/>
        <item x="493"/>
        <item x="219"/>
        <item x="337"/>
        <item x="76"/>
        <item x="484"/>
        <item x="446"/>
        <item x="22"/>
        <item x="132"/>
        <item x="97"/>
        <item x="92"/>
        <item x="91"/>
        <item x="90"/>
        <item x="98"/>
        <item x="49"/>
        <item x="154"/>
        <item x="222"/>
        <item x="340"/>
        <item x="377"/>
        <item x="535"/>
        <item x="272"/>
        <item x="507"/>
        <item x="122"/>
        <item x="123"/>
        <item x="192"/>
        <item x="191"/>
        <item x="190"/>
        <item x="194"/>
        <item x="177"/>
        <item x="229"/>
        <item x="197"/>
        <item x="201"/>
        <item x="200"/>
        <item x="209"/>
        <item x="68"/>
        <item x="211"/>
        <item x="182"/>
        <item x="183"/>
        <item x="184"/>
        <item x="186"/>
        <item x="187"/>
        <item x="188"/>
        <item x="158"/>
        <item x="159"/>
        <item x="160"/>
        <item x="189"/>
        <item x="443"/>
        <item x="372"/>
        <item x="353"/>
        <item x="240"/>
        <item x="2"/>
        <item x="46"/>
        <item x="100"/>
        <item x="501"/>
        <item x="401"/>
        <item x="455"/>
        <item x="515"/>
        <item x="350"/>
        <item x="437"/>
        <item x="463"/>
        <item x="499"/>
        <item x="498"/>
        <item x="513"/>
        <item x="529"/>
        <item x="357"/>
        <item x="346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5"/>
        <item x="0"/>
        <item x="36"/>
        <item x="6"/>
        <item x="1"/>
        <item x="17"/>
        <item x="20"/>
        <item x="15"/>
        <item x="4"/>
        <item x="33"/>
        <item x="38"/>
        <item x="22"/>
        <item x="32"/>
        <item x="21"/>
        <item x="8"/>
        <item x="31"/>
        <item x="2"/>
        <item x="23"/>
        <item x="35"/>
        <item x="16"/>
        <item x="10"/>
        <item x="7"/>
        <item x="19"/>
        <item x="11"/>
        <item x="14"/>
        <item x="12"/>
        <item x="27"/>
        <item x="13"/>
        <item x="28"/>
        <item x="25"/>
        <item x="24"/>
        <item x="29"/>
        <item x="3"/>
        <item x="9"/>
        <item x="18"/>
        <item x="37"/>
        <item x="26"/>
        <item x="30"/>
        <item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2"/>
    <field x="14"/>
  </rowFields>
  <rowItems count="694">
    <i>
      <x/>
      <x v="437"/>
      <x v="16"/>
    </i>
    <i>
      <x v="1"/>
      <x v="417"/>
      <x v="11"/>
    </i>
    <i>
      <x v="2"/>
      <x v="265"/>
      <x v="1"/>
    </i>
    <i>
      <x v="3"/>
      <x v="206"/>
      <x v="4"/>
    </i>
    <i>
      <x v="4"/>
      <x v="530"/>
      <x v="16"/>
    </i>
    <i>
      <x v="5"/>
      <x v="169"/>
      <x v="32"/>
    </i>
    <i>
      <x v="6"/>
      <x v="413"/>
      <x v="8"/>
    </i>
    <i>
      <x v="7"/>
      <x v="62"/>
      <x v="8"/>
    </i>
    <i>
      <x v="8"/>
      <x v="364"/>
      <x v="1"/>
    </i>
    <i>
      <x v="9"/>
      <x v="464"/>
      <x/>
    </i>
    <i>
      <x v="10"/>
      <x v="211"/>
      <x v="1"/>
    </i>
    <i>
      <x v="11"/>
      <x v="465"/>
      <x v="1"/>
    </i>
    <i>
      <x v="12"/>
      <x v="132"/>
      <x v="1"/>
    </i>
    <i>
      <x v="13"/>
      <x v="236"/>
      <x v="1"/>
    </i>
    <i>
      <x v="14"/>
      <x v="13"/>
      <x v="3"/>
    </i>
    <i r="1">
      <x v="326"/>
      <x v="3"/>
    </i>
    <i r="1">
      <x v="438"/>
      <x v="3"/>
    </i>
    <i>
      <x v="15"/>
      <x v="420"/>
      <x v="21"/>
    </i>
    <i>
      <x v="16"/>
      <x v="75"/>
      <x v="14"/>
    </i>
    <i>
      <x v="17"/>
      <x v="474"/>
      <x v="33"/>
    </i>
    <i>
      <x v="18"/>
      <x v="469"/>
      <x v="33"/>
    </i>
    <i>
      <x v="19"/>
      <x v="175"/>
      <x v="33"/>
    </i>
    <i>
      <x v="20"/>
      <x v="209"/>
      <x v="21"/>
    </i>
    <i>
      <x v="21"/>
      <x v="401"/>
      <x v="20"/>
    </i>
    <i>
      <x v="22"/>
      <x v="487"/>
      <x v="23"/>
    </i>
    <i>
      <x v="23"/>
      <x v="78"/>
      <x v="20"/>
    </i>
    <i>
      <x v="24"/>
      <x v="235"/>
      <x v="1"/>
    </i>
    <i>
      <x v="25"/>
      <x v="54"/>
      <x v="20"/>
    </i>
    <i r="1">
      <x v="367"/>
      <x v="20"/>
    </i>
    <i r="1">
      <x v="436"/>
      <x v="20"/>
    </i>
    <i r="1">
      <x v="439"/>
      <x v="20"/>
    </i>
    <i>
      <x v="26"/>
      <x v="473"/>
      <x v="14"/>
    </i>
    <i>
      <x v="27"/>
      <x v="69"/>
      <x v="3"/>
    </i>
    <i>
      <x v="28"/>
      <x v="311"/>
      <x v="21"/>
    </i>
    <i>
      <x v="29"/>
      <x v="232"/>
      <x v="23"/>
    </i>
    <i>
      <x v="30"/>
      <x v="86"/>
      <x v="20"/>
    </i>
    <i>
      <x v="31"/>
      <x v="262"/>
      <x v="21"/>
    </i>
    <i>
      <x v="32"/>
      <x v="409"/>
      <x v="14"/>
    </i>
    <i>
      <x v="33"/>
      <x v="15"/>
      <x v="23"/>
    </i>
    <i>
      <x v="34"/>
      <x v="128"/>
      <x v="1"/>
    </i>
    <i>
      <x v="35"/>
      <x v="415"/>
      <x v="14"/>
    </i>
    <i>
      <x v="36"/>
      <x v="138"/>
      <x v="1"/>
    </i>
    <i>
      <x v="37"/>
      <x v="57"/>
      <x v="32"/>
    </i>
    <i r="1">
      <x v="60"/>
      <x v="32"/>
    </i>
    <i>
      <x v="38"/>
      <x v="24"/>
      <x/>
    </i>
    <i>
      <x v="39"/>
      <x v="431"/>
      <x v="1"/>
    </i>
    <i>
      <x v="40"/>
      <x v="445"/>
      <x v="1"/>
    </i>
    <i>
      <x v="41"/>
      <x v="332"/>
      <x v="32"/>
    </i>
    <i>
      <x v="42"/>
      <x v="531"/>
      <x v="1"/>
    </i>
    <i>
      <x v="43"/>
      <x v="25"/>
      <x/>
    </i>
    <i>
      <x v="44"/>
      <x v="207"/>
      <x v="1"/>
    </i>
    <i>
      <x v="45"/>
      <x v="494"/>
      <x v="1"/>
    </i>
    <i>
      <x v="46"/>
      <x v="138"/>
      <x v="1"/>
    </i>
    <i>
      <x v="47"/>
      <x v="151"/>
      <x v="1"/>
    </i>
    <i>
      <x v="48"/>
      <x v="136"/>
      <x v="1"/>
    </i>
    <i>
      <x v="49"/>
      <x v="135"/>
      <x v="1"/>
    </i>
    <i>
      <x v="50"/>
      <x v="138"/>
      <x v="1"/>
    </i>
    <i>
      <x v="51"/>
      <x v="130"/>
      <x v="1"/>
    </i>
    <i>
      <x v="52"/>
      <x v="138"/>
      <x v="1"/>
    </i>
    <i>
      <x v="53"/>
      <x v="133"/>
      <x v="1"/>
    </i>
    <i>
      <x v="54"/>
      <x v="106"/>
      <x v="1"/>
    </i>
    <i>
      <x v="55"/>
      <x v="139"/>
      <x v="1"/>
    </i>
    <i>
      <x v="56"/>
      <x v="129"/>
      <x v="1"/>
    </i>
    <i>
      <x v="57"/>
      <x v="107"/>
      <x v="1"/>
    </i>
    <i>
      <x v="58"/>
      <x v="463"/>
      <x v="1"/>
    </i>
    <i>
      <x v="59"/>
      <x v="126"/>
      <x v="1"/>
    </i>
    <i>
      <x v="60"/>
      <x v="392"/>
      <x v="8"/>
    </i>
    <i>
      <x v="61"/>
      <x v="64"/>
      <x v="32"/>
    </i>
    <i>
      <x v="62"/>
      <x v="61"/>
      <x v="32"/>
    </i>
    <i>
      <x v="63"/>
      <x v="202"/>
      <x v="32"/>
    </i>
    <i>
      <x v="64"/>
      <x v="379"/>
      <x v="32"/>
    </i>
    <i>
      <x v="65"/>
      <x v="478"/>
      <x v="25"/>
    </i>
    <i>
      <x v="66"/>
      <x v="234"/>
      <x v="1"/>
    </i>
    <i>
      <x v="67"/>
      <x v="514"/>
      <x v="32"/>
    </i>
    <i>
      <x v="68"/>
      <x v="99"/>
      <x v="32"/>
    </i>
    <i>
      <x v="69"/>
      <x v="344"/>
      <x v="32"/>
    </i>
    <i>
      <x v="70"/>
      <x v="472"/>
      <x v="25"/>
    </i>
    <i>
      <x v="71"/>
      <x v="433"/>
      <x v="32"/>
    </i>
    <i>
      <x v="72"/>
      <x v="477"/>
      <x v="25"/>
    </i>
    <i>
      <x v="73"/>
      <x v="476"/>
      <x v="27"/>
    </i>
    <i>
      <x v="74"/>
      <x v="476"/>
      <x v="27"/>
    </i>
    <i>
      <x v="75"/>
      <x v="447"/>
      <x v="16"/>
    </i>
    <i>
      <x v="76"/>
      <x v="484"/>
      <x v="27"/>
    </i>
    <i>
      <x v="77"/>
      <x v="259"/>
      <x v="16"/>
    </i>
    <i>
      <x v="78"/>
      <x v="258"/>
      <x v="24"/>
    </i>
    <i>
      <x v="79"/>
      <x v="92"/>
      <x v="16"/>
    </i>
    <i>
      <x v="80"/>
      <x v="14"/>
      <x v="7"/>
    </i>
    <i r="1">
      <x v="252"/>
      <x v="7"/>
    </i>
    <i>
      <x v="81"/>
      <x v="125"/>
      <x v="1"/>
    </i>
    <i>
      <x v="82"/>
      <x v="26"/>
      <x v="1"/>
    </i>
    <i>
      <x v="83"/>
      <x v="30"/>
      <x v="19"/>
    </i>
    <i>
      <x v="84"/>
      <x v="138"/>
      <x v="1"/>
    </i>
    <i>
      <x v="85"/>
      <x v="138"/>
      <x v="1"/>
    </i>
    <i>
      <x v="86"/>
      <x v="138"/>
      <x v="1"/>
    </i>
    <i>
      <x v="87"/>
      <x v="138"/>
      <x v="1"/>
    </i>
    <i>
      <x v="88"/>
      <x v="138"/>
      <x v="1"/>
    </i>
    <i>
      <x v="89"/>
      <x v="138"/>
      <x v="1"/>
    </i>
    <i>
      <x v="90"/>
      <x v="443"/>
      <x v="1"/>
    </i>
    <i>
      <x v="91"/>
      <x v="444"/>
      <x v="1"/>
    </i>
    <i>
      <x v="92"/>
      <x v="150"/>
      <x v="1"/>
    </i>
    <i>
      <x v="93"/>
      <x v="430"/>
      <x v="1"/>
    </i>
    <i>
      <x v="94"/>
      <x v="134"/>
      <x v="1"/>
    </i>
    <i>
      <x v="95"/>
      <x v="492"/>
      <x v="1"/>
    </i>
    <i>
      <x v="96"/>
      <x v="491"/>
      <x v="1"/>
    </i>
    <i>
      <x v="97"/>
      <x v="490"/>
      <x v="1"/>
    </i>
    <i>
      <x v="98"/>
      <x v="490"/>
      <x v="1"/>
    </i>
    <i>
      <x v="99"/>
      <x v="383"/>
      <x v="1"/>
    </i>
    <i>
      <x v="100"/>
      <x v="440"/>
      <x v="1"/>
    </i>
    <i>
      <x v="101"/>
      <x v="11"/>
      <x v="1"/>
    </i>
    <i>
      <x v="102"/>
      <x v="11"/>
      <x v="1"/>
    </i>
    <i>
      <x v="103"/>
      <x v="11"/>
      <x v="1"/>
    </i>
    <i>
      <x v="104"/>
      <x v="172"/>
      <x v="1"/>
    </i>
    <i>
      <x v="105"/>
      <x v="489"/>
      <x v="1"/>
    </i>
    <i>
      <x v="106"/>
      <x v="493"/>
      <x v="1"/>
    </i>
    <i>
      <x v="107"/>
      <x v="142"/>
      <x v="1"/>
    </i>
    <i>
      <x v="108"/>
      <x v="532"/>
      <x v="32"/>
    </i>
    <i>
      <x v="109"/>
      <x v="241"/>
      <x v="16"/>
    </i>
    <i>
      <x v="110"/>
      <x v="138"/>
      <x v="1"/>
    </i>
    <i>
      <x v="111"/>
      <x v="403"/>
      <x v="1"/>
    </i>
    <i>
      <x v="112"/>
      <x v="403"/>
      <x v="1"/>
    </i>
    <i>
      <x v="113"/>
      <x v="103"/>
      <x v="32"/>
    </i>
    <i>
      <x v="114"/>
      <x v="198"/>
      <x v="1"/>
    </i>
    <i>
      <x v="115"/>
      <x v="33"/>
      <x v="1"/>
    </i>
    <i>
      <x v="116"/>
      <x v="412"/>
      <x v="21"/>
    </i>
    <i>
      <x v="117"/>
      <x v="425"/>
      <x v="21"/>
    </i>
    <i>
      <x v="118"/>
      <x v="28"/>
      <x v="1"/>
    </i>
    <i>
      <x v="119"/>
      <x v="66"/>
      <x v="16"/>
    </i>
    <i>
      <x v="120"/>
      <x v="141"/>
      <x v="1"/>
    </i>
    <i>
      <x v="121"/>
      <x v="137"/>
      <x v="1"/>
    </i>
    <i>
      <x v="122"/>
      <x v="137"/>
      <x v="1"/>
    </i>
    <i>
      <x v="123"/>
      <x v="137"/>
      <x v="1"/>
    </i>
    <i>
      <x v="124"/>
      <x v="17"/>
      <x v="1"/>
    </i>
    <i>
      <x v="125"/>
      <x v="462"/>
      <x v="1"/>
    </i>
    <i>
      <x v="126"/>
      <x v="325"/>
      <x v="3"/>
    </i>
    <i>
      <x v="127"/>
      <x v="122"/>
      <x v="5"/>
    </i>
    <i>
      <x v="128"/>
      <x v="32"/>
      <x v="32"/>
    </i>
    <i>
      <x v="129"/>
      <x v="127"/>
      <x v="1"/>
    </i>
    <i>
      <x v="130"/>
      <x v="399"/>
      <x v="34"/>
    </i>
    <i>
      <x v="131"/>
      <x v="328"/>
      <x v="3"/>
    </i>
    <i>
      <x v="132"/>
      <x v="131"/>
      <x v="1"/>
    </i>
    <i>
      <x v="133"/>
      <x v="140"/>
      <x v="1"/>
    </i>
    <i>
      <x v="134"/>
      <x v="502"/>
      <x v="32"/>
    </i>
    <i>
      <x v="135"/>
      <x v="503"/>
      <x v="32"/>
    </i>
    <i>
      <x v="136"/>
      <x v="335"/>
      <x v="32"/>
    </i>
    <i>
      <x v="137"/>
      <x v="263"/>
      <x v="22"/>
    </i>
    <i>
      <x v="138"/>
      <x v="115"/>
      <x v="1"/>
    </i>
    <i>
      <x v="139"/>
      <x v="63"/>
      <x v="3"/>
    </i>
    <i>
      <x v="140"/>
      <x v="251"/>
      <x v="32"/>
    </i>
    <i>
      <x v="141"/>
      <x v="466"/>
      <x v="23"/>
    </i>
    <i>
      <x v="142"/>
      <x v="51"/>
      <x/>
    </i>
    <i>
      <x v="143"/>
      <x v="368"/>
      <x/>
    </i>
    <i>
      <x v="144"/>
      <x v="488"/>
      <x/>
    </i>
    <i>
      <x v="145"/>
      <x v="220"/>
      <x v="1"/>
    </i>
    <i>
      <x v="146"/>
      <x v="41"/>
      <x/>
    </i>
    <i>
      <x v="147"/>
      <x v="225"/>
      <x/>
    </i>
    <i>
      <x v="148"/>
      <x v="4"/>
      <x/>
    </i>
    <i>
      <x v="149"/>
      <x v="4"/>
      <x/>
    </i>
    <i>
      <x v="150"/>
      <x v="44"/>
      <x/>
    </i>
    <i>
      <x v="151"/>
      <x v="44"/>
      <x/>
    </i>
    <i>
      <x v="152"/>
      <x v="44"/>
      <x/>
    </i>
    <i>
      <x v="153"/>
      <x v="44"/>
      <x/>
    </i>
    <i>
      <x v="154"/>
      <x v="44"/>
      <x/>
    </i>
    <i>
      <x v="155"/>
      <x v="44"/>
      <x/>
    </i>
    <i>
      <x v="156"/>
      <x v="398"/>
      <x v="25"/>
    </i>
    <i>
      <x v="157"/>
      <x v="397"/>
      <x v="25"/>
    </i>
    <i>
      <x v="158"/>
      <x v="221"/>
      <x/>
    </i>
    <i>
      <x v="159"/>
      <x v="221"/>
      <x/>
    </i>
    <i>
      <x v="160"/>
      <x v="459"/>
      <x v="1"/>
    </i>
    <i>
      <x v="161"/>
      <x v="34"/>
      <x v="1"/>
    </i>
    <i>
      <x v="162"/>
      <x v="39"/>
      <x v="1"/>
    </i>
    <i>
      <x v="163"/>
      <x v="39"/>
      <x v="1"/>
    </i>
    <i>
      <x v="164"/>
      <x v="39"/>
      <x v="1"/>
    </i>
    <i>
      <x v="165"/>
      <x v="43"/>
      <x v="1"/>
    </i>
    <i>
      <x v="166"/>
      <x v="42"/>
      <x v="1"/>
    </i>
    <i>
      <x v="167"/>
      <x v="43"/>
      <x v="1"/>
    </i>
    <i>
      <x v="168"/>
      <x v="44"/>
      <x v="1"/>
    </i>
    <i>
      <x v="169"/>
      <x v="43"/>
      <x v="1"/>
    </i>
    <i>
      <x v="170"/>
      <x v="43"/>
      <x v="1"/>
    </i>
    <i>
      <x v="171"/>
      <x v="43"/>
      <x v="1"/>
    </i>
    <i>
      <x v="172"/>
      <x v="7"/>
      <x v="1"/>
    </i>
    <i>
      <x v="173"/>
      <x v="43"/>
      <x v="1"/>
    </i>
    <i>
      <x v="174"/>
      <x v="43"/>
      <x v="1"/>
    </i>
    <i>
      <x v="175"/>
      <x v="43"/>
      <x v="1"/>
    </i>
    <i>
      <x v="176"/>
      <x v="454"/>
      <x v="1"/>
    </i>
    <i>
      <x v="177"/>
      <x v="38"/>
      <x v="1"/>
    </i>
    <i>
      <x v="178"/>
      <x v="38"/>
      <x v="1"/>
    </i>
    <i>
      <x v="179"/>
      <x v="222"/>
      <x v="1"/>
    </i>
    <i>
      <x v="180"/>
      <x v="40"/>
      <x v="1"/>
    </i>
    <i>
      <x v="181"/>
      <x v="6"/>
      <x v="1"/>
    </i>
    <i>
      <x v="182"/>
      <x v="37"/>
      <x v="1"/>
    </i>
    <i>
      <x v="183"/>
      <x v="8"/>
      <x/>
    </i>
    <i>
      <x v="184"/>
      <x v="495"/>
      <x v="25"/>
    </i>
    <i>
      <x v="185"/>
      <x v="6"/>
      <x/>
    </i>
    <i>
      <x v="186"/>
      <x v="6"/>
      <x/>
    </i>
    <i>
      <x v="187"/>
      <x v="352"/>
      <x v="1"/>
    </i>
    <i>
      <x v="188"/>
      <x v="223"/>
      <x v="1"/>
    </i>
    <i>
      <x v="189"/>
      <x v="42"/>
      <x v="1"/>
    </i>
    <i>
      <x v="190"/>
      <x v="42"/>
      <x v="1"/>
    </i>
    <i>
      <x v="191"/>
      <x v="42"/>
      <x v="1"/>
    </i>
    <i>
      <x v="192"/>
      <x v="34"/>
      <x v="1"/>
    </i>
    <i>
      <x v="193"/>
      <x v="34"/>
      <x v="1"/>
    </i>
    <i>
      <x v="194"/>
      <x v="34"/>
      <x v="1"/>
    </i>
    <i>
      <x v="195"/>
      <x v="48"/>
      <x v="1"/>
    </i>
    <i>
      <x v="196"/>
      <x v="522"/>
      <x v="32"/>
    </i>
    <i>
      <x v="197"/>
      <x v="523"/>
      <x v="32"/>
    </i>
    <i>
      <x v="198"/>
      <x v="524"/>
      <x v="32"/>
    </i>
    <i>
      <x v="199"/>
      <x v="45"/>
      <x v="1"/>
    </i>
    <i>
      <x v="200"/>
      <x v="45"/>
      <x v="1"/>
    </i>
    <i>
      <x v="201"/>
      <x v="46"/>
      <x v="1"/>
    </i>
    <i>
      <x v="202"/>
      <x v="179"/>
      <x v="32"/>
    </i>
    <i>
      <x v="203"/>
      <x v="441"/>
      <x v="25"/>
    </i>
    <i>
      <x v="204"/>
      <x v="113"/>
      <x v="1"/>
    </i>
    <i>
      <x v="205"/>
      <x v="219"/>
      <x/>
    </i>
    <i>
      <x v="206"/>
      <x v="456"/>
      <x v="1"/>
    </i>
    <i>
      <x v="207"/>
      <x v="351"/>
      <x v="1"/>
    </i>
    <i>
      <x v="208"/>
      <x v="35"/>
      <x v="1"/>
    </i>
    <i>
      <x v="209"/>
      <x v="36"/>
      <x/>
    </i>
    <i>
      <x v="210"/>
      <x v="170"/>
      <x v="8"/>
    </i>
    <i>
      <x v="211"/>
      <x v="47"/>
      <x v="1"/>
    </i>
    <i>
      <x v="212"/>
      <x v="49"/>
      <x v="1"/>
    </i>
    <i>
      <x v="213"/>
      <x v="461"/>
      <x v="1"/>
    </i>
    <i>
      <x v="214"/>
      <x v="455"/>
      <x/>
    </i>
    <i>
      <x v="215"/>
      <x v="384"/>
      <x v="1"/>
    </i>
    <i>
      <x v="216"/>
      <x v="508"/>
      <x v="32"/>
    </i>
    <i>
      <x v="217"/>
      <x v="202"/>
      <x v="32"/>
    </i>
    <i>
      <x v="218"/>
      <x v="453"/>
      <x/>
    </i>
    <i>
      <x v="219"/>
      <x v="227"/>
      <x v="1"/>
    </i>
    <i>
      <x v="220"/>
      <x v="227"/>
      <x v="1"/>
    </i>
    <i>
      <x v="221"/>
      <x v="227"/>
      <x v="1"/>
    </i>
    <i>
      <x v="222"/>
      <x v="229"/>
      <x v="1"/>
    </i>
    <i>
      <x v="223"/>
      <x v="458"/>
      <x v="1"/>
    </i>
    <i>
      <x v="224"/>
      <x v="516"/>
      <x v="32"/>
    </i>
    <i>
      <x v="225"/>
      <x v="517"/>
      <x v="32"/>
    </i>
    <i>
      <x v="226"/>
      <x v="518"/>
      <x v="32"/>
    </i>
    <i>
      <x v="227"/>
      <x v="55"/>
      <x v="32"/>
    </i>
    <i>
      <x v="228"/>
      <x v="265"/>
      <x v="1"/>
    </i>
    <i>
      <x v="229"/>
      <x v="265"/>
      <x v="1"/>
    </i>
    <i>
      <x v="230"/>
      <x v="265"/>
      <x v="1"/>
    </i>
    <i>
      <x v="231"/>
      <x v="519"/>
      <x v="32"/>
    </i>
    <i>
      <x v="232"/>
      <x v="520"/>
      <x v="32"/>
    </i>
    <i>
      <x v="233"/>
      <x v="521"/>
      <x v="32"/>
    </i>
    <i>
      <x v="234"/>
      <x v="525"/>
      <x v="1"/>
    </i>
    <i>
      <x v="235"/>
      <x v="506"/>
      <x v="32"/>
    </i>
    <i>
      <x v="236"/>
      <x v="505"/>
      <x v="32"/>
    </i>
    <i>
      <x v="237"/>
      <x v="504"/>
      <x v="32"/>
    </i>
    <i>
      <x v="238"/>
      <x v="56"/>
      <x v="32"/>
    </i>
    <i>
      <x v="239"/>
      <x v="507"/>
      <x v="32"/>
    </i>
    <i>
      <x v="240"/>
      <x v="203"/>
      <x v="32"/>
    </i>
    <i>
      <x v="241"/>
      <x v="457"/>
      <x/>
    </i>
    <i>
      <x v="242"/>
      <x v="510"/>
      <x v="32"/>
    </i>
    <i>
      <x v="243"/>
      <x v="65"/>
      <x v="1"/>
    </i>
    <i>
      <x v="244"/>
      <x v="410"/>
      <x v="7"/>
    </i>
    <i>
      <x v="245"/>
      <x v="512"/>
      <x v="32"/>
    </i>
    <i>
      <x v="246"/>
      <x v="511"/>
      <x v="32"/>
    </i>
    <i>
      <x v="247"/>
      <x v="366"/>
      <x v="7"/>
    </i>
    <i>
      <x v="248"/>
      <x v="233"/>
      <x v="1"/>
    </i>
    <i>
      <x v="249"/>
      <x v="448"/>
      <x v="1"/>
    </i>
    <i>
      <x v="250"/>
      <x v="101"/>
      <x v="33"/>
    </i>
    <i>
      <x v="251"/>
      <x v="111"/>
      <x v="14"/>
    </i>
    <i>
      <x v="252"/>
      <x v="228"/>
      <x v="1"/>
    </i>
    <i>
      <x v="253"/>
      <x v="171"/>
      <x v="32"/>
    </i>
    <i>
      <x v="254"/>
      <x v="513"/>
      <x v="32"/>
    </i>
    <i>
      <x v="255"/>
      <x v="462"/>
      <x v="1"/>
    </i>
    <i>
      <x v="256"/>
      <x v="59"/>
      <x v="32"/>
    </i>
    <i>
      <x v="257"/>
      <x v="515"/>
      <x v="32"/>
    </i>
    <i>
      <x v="258"/>
      <x v="228"/>
      <x v="1"/>
    </i>
    <i>
      <x v="259"/>
      <x v="228"/>
      <x v="1"/>
    </i>
    <i>
      <x v="260"/>
      <x v="5"/>
      <x v="1"/>
    </i>
    <i>
      <x v="261"/>
      <x v="248"/>
      <x v="32"/>
    </i>
    <i>
      <x v="262"/>
      <x v="70"/>
      <x v="21"/>
    </i>
    <i>
      <x v="263"/>
      <x v="428"/>
      <x v="6"/>
    </i>
    <i>
      <x v="264"/>
      <x v="110"/>
      <x v="13"/>
    </i>
    <i>
      <x v="265"/>
      <x v="121"/>
      <x v="5"/>
    </i>
    <i>
      <x v="266"/>
      <x v="479"/>
      <x v="27"/>
    </i>
    <i>
      <x v="267"/>
      <x v="482"/>
      <x v="27"/>
    </i>
    <i>
      <x v="268"/>
      <x v="471"/>
      <x v="27"/>
    </i>
    <i>
      <x v="269"/>
      <x v="231"/>
      <x v="1"/>
    </i>
    <i>
      <x v="270"/>
      <x v="496"/>
      <x v="4"/>
    </i>
    <i>
      <x v="271"/>
      <x v="77"/>
      <x v="21"/>
    </i>
    <i>
      <x v="272"/>
      <x v="480"/>
      <x v="27"/>
    </i>
    <i>
      <x v="273"/>
      <x v="450"/>
      <x v="14"/>
    </i>
    <i>
      <x v="274"/>
      <x v="365"/>
      <x v="32"/>
    </i>
    <i>
      <x v="275"/>
      <x v="230"/>
      <x v="1"/>
    </i>
    <i>
      <x v="276"/>
      <x v="427"/>
      <x v="4"/>
    </i>
    <i>
      <x v="277"/>
      <x v="509"/>
      <x v="32"/>
    </i>
    <i>
      <x v="278"/>
      <x v="402"/>
      <x v="3"/>
    </i>
    <i>
      <x v="279"/>
      <x v="423"/>
      <x v="6"/>
    </i>
    <i>
      <x v="280"/>
      <x v="53"/>
      <x v="3"/>
    </i>
    <i r="1">
      <x v="421"/>
      <x v="3"/>
    </i>
    <i>
      <x v="281"/>
      <x v="173"/>
      <x v="32"/>
    </i>
    <i>
      <x v="282"/>
      <x v="174"/>
      <x v="32"/>
    </i>
    <i>
      <x v="283"/>
      <x v="72"/>
      <x v="11"/>
    </i>
    <i>
      <x v="284"/>
      <x v="68"/>
      <x v="14"/>
    </i>
    <i>
      <x v="285"/>
      <x v="84"/>
      <x v="7"/>
    </i>
    <i>
      <x v="286"/>
      <x v="73"/>
      <x v="11"/>
    </i>
    <i>
      <x v="287"/>
      <x v="529"/>
      <x v="32"/>
    </i>
    <i>
      <x v="288"/>
      <x v="261"/>
      <x v="11"/>
    </i>
    <i>
      <x v="289"/>
      <x v="260"/>
      <x v="8"/>
    </i>
    <i>
      <x v="290"/>
      <x v="74"/>
      <x v="11"/>
    </i>
    <i>
      <x v="291"/>
      <x v="226"/>
      <x v="1"/>
    </i>
    <i>
      <x v="292"/>
      <x v="422"/>
      <x v="7"/>
    </i>
    <i>
      <x v="293"/>
      <x v="416"/>
      <x v="7"/>
    </i>
    <i>
      <x v="294"/>
      <x v="414"/>
      <x v="11"/>
    </i>
    <i>
      <x v="295"/>
      <x v="411"/>
      <x v="8"/>
    </i>
    <i>
      <x v="296"/>
      <x v="418"/>
      <x v="16"/>
    </i>
    <i>
      <x v="297"/>
      <x v="419"/>
      <x v="16"/>
    </i>
    <i>
      <x v="298"/>
      <x v="400"/>
      <x v="5"/>
    </i>
    <i>
      <x v="299"/>
      <x v="114"/>
      <x v="17"/>
    </i>
    <i>
      <x v="300"/>
      <x v="342"/>
      <x v="32"/>
    </i>
    <i>
      <x v="301"/>
      <x v="460"/>
      <x v="32"/>
    </i>
    <i>
      <x v="302"/>
      <x v="250"/>
      <x v="32"/>
    </i>
    <i>
      <x v="303"/>
      <x v="81"/>
      <x v="21"/>
    </i>
    <i>
      <x v="304"/>
      <x v="359"/>
      <x v="1"/>
    </i>
    <i>
      <x v="305"/>
      <x v="363"/>
      <x v="1"/>
    </i>
    <i>
      <x v="306"/>
      <x v="176"/>
      <x v="16"/>
    </i>
    <i>
      <x v="307"/>
      <x v="80"/>
      <x v="21"/>
    </i>
    <i r="1">
      <x v="120"/>
      <x v="21"/>
    </i>
    <i>
      <x v="308"/>
      <x v="362"/>
      <x v="30"/>
    </i>
    <i>
      <x v="309"/>
      <x v="361"/>
      <x v="1"/>
    </i>
    <i>
      <x v="310"/>
      <x v="360"/>
      <x v="1"/>
    </i>
    <i>
      <x v="311"/>
      <x v="304"/>
      <x/>
    </i>
    <i>
      <x v="312"/>
      <x v="148"/>
      <x v="29"/>
    </i>
    <i>
      <x v="313"/>
      <x v="152"/>
      <x v="36"/>
    </i>
    <i>
      <x v="314"/>
      <x v="149"/>
      <x v="36"/>
    </i>
    <i>
      <x v="315"/>
      <x v="153"/>
      <x v="36"/>
    </i>
    <i>
      <x v="316"/>
      <x v="105"/>
      <x/>
    </i>
    <i>
      <x v="317"/>
      <x v="309"/>
      <x v="29"/>
    </i>
    <i>
      <x v="318"/>
      <x v="500"/>
      <x/>
    </i>
    <i>
      <x v="319"/>
      <x v="19"/>
      <x/>
    </i>
    <i>
      <x v="320"/>
      <x v="29"/>
      <x/>
    </i>
    <i>
      <x v="321"/>
      <x v="308"/>
      <x/>
    </i>
    <i>
      <x v="322"/>
      <x v="308"/>
      <x/>
    </i>
    <i>
      <x v="323"/>
      <x v="154"/>
      <x/>
    </i>
    <i>
      <x v="324"/>
      <x v="197"/>
      <x v="8"/>
    </i>
    <i>
      <x v="325"/>
      <x v="434"/>
      <x/>
    </i>
    <i r="1">
      <x v="435"/>
      <x/>
    </i>
    <i r="2">
      <x v="1"/>
    </i>
    <i r="2">
      <x v="26"/>
    </i>
    <i r="2">
      <x v="28"/>
    </i>
    <i r="2">
      <x v="31"/>
    </i>
    <i r="2">
      <x v="34"/>
    </i>
    <i r="2">
      <x v="36"/>
    </i>
    <i r="2">
      <x v="37"/>
    </i>
    <i>
      <x v="326"/>
      <x v="123"/>
      <x/>
    </i>
    <i>
      <x v="327"/>
      <x v="123"/>
      <x v="37"/>
    </i>
    <i>
      <x v="328"/>
      <x v="124"/>
      <x v="34"/>
    </i>
    <i>
      <x v="329"/>
      <x v="452"/>
      <x v="14"/>
    </i>
    <i>
      <x v="330"/>
      <x v="200"/>
      <x v="8"/>
    </i>
    <i>
      <x v="331"/>
      <x v="82"/>
      <x v="8"/>
    </i>
    <i>
      <x v="332"/>
      <x v="50"/>
      <x v="36"/>
    </i>
    <i>
      <x v="333"/>
      <x v="246"/>
      <x v="36"/>
    </i>
    <i>
      <x v="334"/>
      <x v="246"/>
      <x v="36"/>
    </i>
    <i>
      <x v="335"/>
      <x v="246"/>
      <x v="36"/>
    </i>
    <i>
      <x v="336"/>
      <x v="376"/>
      <x/>
    </i>
    <i>
      <x v="337"/>
      <x v="386"/>
      <x/>
    </i>
    <i>
      <x v="338"/>
      <x v="178"/>
      <x/>
    </i>
    <i>
      <x v="339"/>
      <x v="224"/>
      <x/>
    </i>
    <i>
      <x v="340"/>
      <x v="348"/>
      <x/>
    </i>
    <i>
      <x v="341"/>
      <x v="94"/>
      <x/>
    </i>
    <i>
      <x v="342"/>
      <x v="50"/>
      <x v="26"/>
    </i>
    <i>
      <x v="343"/>
      <x v="50"/>
      <x/>
    </i>
    <i>
      <x v="344"/>
      <x v="373"/>
      <x v="36"/>
    </i>
    <i>
      <x v="345"/>
      <x v="377"/>
      <x/>
    </i>
    <i>
      <x v="346"/>
      <x v="432"/>
      <x/>
    </i>
    <i>
      <x v="347"/>
      <x v="370"/>
      <x v="37"/>
    </i>
    <i>
      <x v="348"/>
      <x v="370"/>
      <x v="37"/>
    </i>
    <i>
      <x v="349"/>
      <x v="374"/>
      <x v="29"/>
    </i>
    <i>
      <x v="350"/>
      <x v="374"/>
      <x v="29"/>
    </i>
    <i>
      <x v="351"/>
      <x v="372"/>
      <x/>
    </i>
    <i>
      <x v="352"/>
      <x v="372"/>
      <x/>
    </i>
    <i>
      <x v="353"/>
      <x v="375"/>
      <x/>
    </i>
    <i>
      <x v="354"/>
      <x v="375"/>
      <x/>
    </i>
    <i>
      <x v="355"/>
      <x v="375"/>
      <x/>
    </i>
    <i>
      <x v="356"/>
      <x v="375"/>
      <x/>
    </i>
    <i>
      <x v="357"/>
      <x v="375"/>
      <x/>
    </i>
    <i>
      <x v="358"/>
      <x v="375"/>
      <x/>
    </i>
    <i>
      <x v="359"/>
      <x v="375"/>
      <x/>
    </i>
    <i>
      <x v="360"/>
      <x v="369"/>
      <x/>
    </i>
    <i>
      <x v="361"/>
      <x v="371"/>
      <x/>
    </i>
    <i>
      <x v="362"/>
      <x v="385"/>
      <x v="37"/>
    </i>
    <i>
      <x v="363"/>
      <x v="20"/>
      <x v="37"/>
    </i>
    <i>
      <x v="364"/>
      <x v="357"/>
      <x v="1"/>
    </i>
    <i>
      <x v="365"/>
      <x v="112"/>
      <x v="4"/>
    </i>
    <i r="1">
      <x v="267"/>
      <x v="4"/>
    </i>
    <i>
      <x v="366"/>
      <x v="327"/>
      <x v="6"/>
    </i>
    <i>
      <x v="367"/>
      <x v="404"/>
      <x v="31"/>
    </i>
    <i>
      <x v="368"/>
      <x v="405"/>
      <x v="37"/>
    </i>
    <i>
      <x v="369"/>
      <x v="405"/>
      <x v="37"/>
    </i>
    <i>
      <x v="370"/>
      <x v="405"/>
      <x v="37"/>
    </i>
    <i>
      <x v="371"/>
      <x v="405"/>
      <x v="34"/>
    </i>
    <i>
      <x v="372"/>
      <x v="217"/>
      <x v="34"/>
    </i>
    <i>
      <x v="373"/>
      <x v="216"/>
      <x v="34"/>
    </i>
    <i>
      <x v="374"/>
      <x v="215"/>
      <x v="32"/>
    </i>
    <i>
      <x v="375"/>
      <x v="181"/>
      <x/>
    </i>
    <i>
      <x v="376"/>
      <x v="238"/>
      <x v="15"/>
    </i>
    <i>
      <x v="377"/>
      <x v="10"/>
      <x/>
    </i>
    <i>
      <x v="378"/>
      <x v="67"/>
      <x v="32"/>
    </i>
    <i>
      <x v="379"/>
      <x v="312"/>
      <x v="15"/>
    </i>
    <i>
      <x v="380"/>
      <x v="313"/>
      <x v="15"/>
    </i>
    <i>
      <x v="381"/>
      <x v="314"/>
      <x v="15"/>
    </i>
    <i>
      <x v="382"/>
      <x v="143"/>
      <x v="37"/>
    </i>
    <i>
      <x v="383"/>
      <x v="249"/>
      <x/>
    </i>
    <i>
      <x v="384"/>
      <x v="378"/>
      <x v="32"/>
    </i>
    <i>
      <x v="385"/>
      <x v="382"/>
      <x v="32"/>
    </i>
    <i>
      <x v="386"/>
      <x v="242"/>
      <x v="12"/>
    </i>
    <i>
      <x v="387"/>
      <x v="467"/>
      <x v="27"/>
    </i>
    <i>
      <x v="388"/>
      <x v="245"/>
      <x v="6"/>
    </i>
    <i>
      <x v="389"/>
      <x v="282"/>
      <x v="28"/>
    </i>
    <i>
      <x v="390"/>
      <x v="2"/>
      <x/>
    </i>
    <i>
      <x v="391"/>
      <x v="3"/>
      <x v="37"/>
    </i>
    <i>
      <x v="392"/>
      <x v="275"/>
      <x/>
    </i>
    <i>
      <x v="393"/>
      <x v="9"/>
      <x v="36"/>
    </i>
    <i>
      <x v="394"/>
      <x v="98"/>
      <x/>
    </i>
    <i>
      <x v="395"/>
      <x v="156"/>
      <x v="36"/>
    </i>
    <i>
      <x v="396"/>
      <x v="158"/>
      <x v="36"/>
    </i>
    <i>
      <x v="397"/>
      <x v="157"/>
      <x v="36"/>
    </i>
    <i>
      <x v="398"/>
      <x v="155"/>
      <x v="36"/>
    </i>
    <i>
      <x v="399"/>
      <x v="483"/>
      <x v="27"/>
    </i>
    <i>
      <x v="400"/>
      <x v="199"/>
      <x v="15"/>
    </i>
    <i>
      <x v="401"/>
      <x v="164"/>
      <x v="32"/>
    </i>
    <i>
      <x v="402"/>
      <x v="497"/>
      <x v="16"/>
    </i>
    <i>
      <x v="403"/>
      <x v="354"/>
      <x v="1"/>
    </i>
    <i>
      <x v="404"/>
      <x v="356"/>
      <x v="21"/>
    </i>
    <i>
      <x v="405"/>
      <x v="355"/>
      <x v="1"/>
    </i>
    <i>
      <x v="406"/>
      <x v="163"/>
      <x v="37"/>
    </i>
    <i>
      <x v="407"/>
      <x v="162"/>
      <x v="28"/>
    </i>
    <i>
      <x v="408"/>
      <x v="162"/>
      <x v="29"/>
    </i>
    <i>
      <x v="409"/>
      <x v="162"/>
      <x v="26"/>
    </i>
    <i>
      <x v="410"/>
      <x v="545"/>
      <x v="6"/>
    </i>
    <i>
      <x v="411"/>
      <x v="161"/>
      <x v="37"/>
    </i>
    <i>
      <x v="412"/>
      <x v="161"/>
      <x v="37"/>
    </i>
    <i>
      <x v="413"/>
      <x v="161"/>
      <x/>
    </i>
    <i>
      <x v="414"/>
      <x v="159"/>
      <x/>
    </i>
    <i>
      <x v="415"/>
      <x v="279"/>
      <x v="32"/>
    </i>
    <i>
      <x v="416"/>
      <x v="537"/>
      <x v="36"/>
    </i>
    <i>
      <x v="417"/>
      <x v="537"/>
      <x v="36"/>
    </i>
    <i>
      <x v="418"/>
      <x v="160"/>
      <x v="36"/>
    </i>
    <i>
      <x v="419"/>
      <x v="305"/>
      <x v="34"/>
    </i>
    <i>
      <x v="420"/>
      <x v="160"/>
      <x v="36"/>
    </i>
    <i>
      <x v="421"/>
      <x v="305"/>
      <x v="29"/>
    </i>
    <i>
      <x v="422"/>
      <x v="528"/>
      <x v="32"/>
    </i>
    <i>
      <x v="423"/>
      <x v="264"/>
      <x v="28"/>
    </i>
    <i>
      <x v="424"/>
      <x v="468"/>
      <x v="27"/>
    </i>
    <i>
      <x v="425"/>
      <x v="18"/>
      <x v="28"/>
    </i>
    <i>
      <x v="426"/>
      <x v="544"/>
      <x v="28"/>
    </i>
    <i>
      <x v="427"/>
      <x v="93"/>
      <x v="16"/>
    </i>
    <i>
      <x v="428"/>
      <x v="87"/>
      <x v="15"/>
    </i>
    <i>
      <x v="429"/>
      <x v="104"/>
      <x v="15"/>
    </i>
    <i>
      <x v="430"/>
      <x v="276"/>
      <x v="1"/>
    </i>
    <i>
      <x v="431"/>
      <x v="276"/>
      <x v="1"/>
    </i>
    <i>
      <x v="432"/>
      <x v="266"/>
      <x/>
    </i>
    <i>
      <x v="433"/>
      <x v="266"/>
      <x v="31"/>
    </i>
    <i>
      <x v="434"/>
      <x v="266"/>
      <x v="1"/>
    </i>
    <i>
      <x v="435"/>
      <x v="243"/>
      <x v="17"/>
    </i>
    <i>
      <x v="436"/>
      <x v="243"/>
      <x v="17"/>
    </i>
    <i>
      <x v="437"/>
      <x v="451"/>
      <x v="16"/>
    </i>
    <i>
      <x v="438"/>
      <x v="237"/>
      <x v="31"/>
    </i>
    <i>
      <x v="439"/>
      <x v="102"/>
      <x v="14"/>
    </i>
    <i r="1">
      <x v="117"/>
      <x v="14"/>
    </i>
    <i>
      <x v="440"/>
      <x v="116"/>
      <x v="14"/>
    </i>
    <i r="1">
      <x v="449"/>
      <x v="14"/>
    </i>
    <i>
      <x v="441"/>
      <x v="208"/>
      <x v="28"/>
    </i>
    <i>
      <x v="442"/>
      <x v="527"/>
      <x v="14"/>
    </i>
    <i>
      <x v="443"/>
      <x v="147"/>
      <x/>
    </i>
    <i>
      <x v="444"/>
      <x v="147"/>
      <x v="36"/>
    </i>
    <i>
      <x v="445"/>
      <x v="312"/>
      <x v="15"/>
    </i>
    <i>
      <x v="446"/>
      <x v="313"/>
      <x v="15"/>
    </i>
    <i>
      <x v="447"/>
      <x v="314"/>
      <x v="15"/>
    </i>
    <i>
      <x v="448"/>
      <x v="315"/>
      <x v="15"/>
    </i>
    <i>
      <x v="449"/>
      <x v="145"/>
      <x/>
    </i>
    <i>
      <x v="450"/>
      <x v="145"/>
      <x v="37"/>
    </i>
    <i>
      <x v="451"/>
      <x v="145"/>
      <x/>
    </i>
    <i>
      <x v="452"/>
      <x v="407"/>
      <x v="28"/>
    </i>
    <i>
      <x v="453"/>
      <x v="498"/>
      <x/>
    </i>
    <i>
      <x v="454"/>
      <x v="498"/>
      <x/>
    </i>
    <i>
      <x v="455"/>
      <x v="498"/>
      <x/>
    </i>
    <i>
      <x v="456"/>
      <x v="97"/>
      <x v="32"/>
    </i>
    <i>
      <x v="457"/>
      <x v="21"/>
      <x/>
    </i>
    <i>
      <x v="458"/>
      <x v="23"/>
      <x/>
    </i>
    <i>
      <x v="459"/>
      <x v="329"/>
      <x v="32"/>
    </i>
    <i>
      <x v="460"/>
      <x v="330"/>
      <x v="32"/>
    </i>
    <i>
      <x v="461"/>
      <x v="331"/>
      <x v="32"/>
    </i>
    <i>
      <x v="462"/>
      <x v="239"/>
      <x v="9"/>
    </i>
    <i>
      <x v="463"/>
      <x v="239"/>
      <x v="19"/>
    </i>
    <i>
      <x v="464"/>
      <x v="239"/>
      <x v="19"/>
    </i>
    <i>
      <x v="465"/>
      <x v="95"/>
      <x v="32"/>
    </i>
    <i>
      <x v="466"/>
      <x v="393"/>
      <x v="32"/>
    </i>
    <i>
      <x v="467"/>
      <x v="393"/>
      <x v="32"/>
    </i>
    <i>
      <x v="468"/>
      <x v="393"/>
      <x v="32"/>
    </i>
    <i>
      <x v="469"/>
      <x v="146"/>
      <x v="26"/>
    </i>
    <i>
      <x v="470"/>
      <x v="146"/>
      <x v="26"/>
    </i>
    <i>
      <x v="471"/>
      <x v="146"/>
      <x v="26"/>
    </i>
    <i>
      <x v="472"/>
      <x v="446"/>
      <x v="12"/>
    </i>
    <i>
      <x v="473"/>
      <x v="396"/>
      <x v="7"/>
    </i>
    <i>
      <x v="474"/>
      <x v="144"/>
      <x v="1"/>
    </i>
    <i>
      <x v="475"/>
      <x v="186"/>
      <x v="36"/>
    </i>
    <i>
      <x v="476"/>
      <x v="186"/>
      <x v="36"/>
    </i>
    <i>
      <x v="477"/>
      <x v="187"/>
      <x v="1"/>
    </i>
    <i>
      <x v="478"/>
      <x v="278"/>
      <x v="29"/>
    </i>
    <i>
      <x v="479"/>
      <x v="278"/>
      <x v="29"/>
    </i>
    <i>
      <x v="480"/>
      <x v="278"/>
      <x v="29"/>
    </i>
    <i>
      <x v="481"/>
      <x v="278"/>
      <x v="38"/>
    </i>
    <i>
      <x v="482"/>
      <x v="22"/>
      <x v="31"/>
    </i>
    <i>
      <x v="483"/>
      <x v="277"/>
      <x/>
    </i>
    <i>
      <x v="484"/>
      <x v="167"/>
      <x v="15"/>
    </i>
    <i>
      <x v="485"/>
      <x v="118"/>
      <x v="14"/>
    </i>
    <i>
      <x v="486"/>
      <x v="16"/>
      <x v="16"/>
    </i>
    <i>
      <x v="487"/>
      <x v="119"/>
      <x v="12"/>
    </i>
    <i r="1">
      <x v="446"/>
      <x v="12"/>
    </i>
    <i>
      <x v="488"/>
      <x v="27"/>
      <x v="28"/>
    </i>
    <i>
      <x v="489"/>
      <x v="534"/>
      <x v="36"/>
    </i>
    <i>
      <x v="490"/>
      <x v="12"/>
      <x v="21"/>
    </i>
    <i>
      <x v="491"/>
      <x v="424"/>
      <x v="18"/>
    </i>
    <i>
      <x v="492"/>
      <x v="196"/>
      <x v="28"/>
    </i>
    <i>
      <x v="493"/>
      <x v="188"/>
      <x/>
    </i>
    <i>
      <x v="494"/>
      <x v="254"/>
      <x v="7"/>
    </i>
    <i>
      <x v="495"/>
      <x v="255"/>
      <x v="7"/>
    </i>
    <i>
      <x v="496"/>
      <x v="253"/>
      <x v="7"/>
    </i>
    <i>
      <x v="497"/>
      <x v="408"/>
      <x v="11"/>
    </i>
    <i>
      <x v="498"/>
      <x v="281"/>
      <x v="31"/>
    </i>
    <i>
      <x v="499"/>
      <x v="341"/>
      <x v="32"/>
    </i>
    <i>
      <x v="500"/>
      <x v="165"/>
      <x v="8"/>
    </i>
    <i>
      <x v="501"/>
      <x v="442"/>
      <x v="2"/>
    </i>
    <i>
      <x v="502"/>
      <x v="280"/>
      <x v="37"/>
    </i>
    <i>
      <x v="503"/>
      <x v="204"/>
      <x v="17"/>
    </i>
    <i>
      <x v="504"/>
      <x v="166"/>
      <x v="7"/>
    </i>
    <i>
      <x v="505"/>
      <x v="338"/>
      <x v="32"/>
    </i>
    <i>
      <x v="506"/>
      <x v="337"/>
      <x v="32"/>
    </i>
    <i>
      <x v="507"/>
      <x v="353"/>
      <x v="16"/>
    </i>
    <i>
      <x v="508"/>
      <x v="353"/>
      <x v="16"/>
    </i>
    <i>
      <x v="509"/>
      <x v="289"/>
      <x/>
    </i>
    <i>
      <x v="510"/>
      <x v="288"/>
      <x v="26"/>
    </i>
    <i>
      <x v="511"/>
      <x v="283"/>
      <x v="26"/>
    </i>
    <i>
      <x v="512"/>
      <x v="284"/>
      <x v="37"/>
    </i>
    <i>
      <x v="513"/>
      <x v="96"/>
      <x v="21"/>
    </i>
    <i>
      <x v="514"/>
      <x v="347"/>
      <x v="6"/>
    </i>
    <i>
      <x v="515"/>
      <x v="214"/>
      <x v="6"/>
    </i>
    <i>
      <x v="516"/>
      <x v="269"/>
      <x v="32"/>
    </i>
    <i>
      <x v="517"/>
      <x v="269"/>
      <x v="32"/>
    </i>
    <i>
      <x v="518"/>
      <x v="285"/>
      <x v="31"/>
    </i>
    <i>
      <x v="519"/>
      <x v="285"/>
      <x/>
    </i>
    <i>
      <x v="520"/>
      <x v="285"/>
      <x v="37"/>
    </i>
    <i>
      <x v="521"/>
      <x v="285"/>
      <x v="29"/>
    </i>
    <i>
      <x v="522"/>
      <x v="89"/>
      <x v="6"/>
    </i>
    <i>
      <x v="523"/>
      <x v="346"/>
      <x v="34"/>
    </i>
    <i>
      <x v="524"/>
      <x v="346"/>
      <x v="34"/>
    </i>
    <i>
      <x v="525"/>
      <x v="185"/>
      <x v="36"/>
    </i>
    <i>
      <x v="526"/>
      <x v="185"/>
      <x v="36"/>
    </i>
    <i>
      <x v="527"/>
      <x v="190"/>
      <x v="36"/>
    </i>
    <i>
      <x v="528"/>
      <x v="257"/>
      <x v="21"/>
    </i>
    <i>
      <x v="529"/>
      <x v="79"/>
      <x v="6"/>
    </i>
    <i>
      <x v="530"/>
      <x v="218"/>
      <x v="7"/>
    </i>
    <i>
      <x v="531"/>
      <x v="538"/>
      <x v="36"/>
    </i>
    <i>
      <x v="532"/>
      <x v="318"/>
      <x v="15"/>
    </i>
    <i>
      <x v="533"/>
      <x v="318"/>
      <x v="15"/>
    </i>
    <i>
      <x v="534"/>
      <x v="319"/>
      <x v="15"/>
    </i>
    <i>
      <x v="535"/>
      <x v="320"/>
      <x v="15"/>
    </i>
    <i>
      <x v="536"/>
      <x v="58"/>
      <x v="32"/>
    </i>
    <i>
      <x v="537"/>
      <x v="297"/>
      <x v="36"/>
    </i>
    <i>
      <x v="538"/>
      <x v="297"/>
      <x v="36"/>
    </i>
    <i>
      <x v="539"/>
      <x v="297"/>
      <x v="36"/>
    </i>
    <i>
      <x v="540"/>
      <x v="526"/>
      <x v="16"/>
    </i>
    <i>
      <x v="541"/>
      <x v="429"/>
      <x v="8"/>
    </i>
    <i>
      <x v="542"/>
      <x v="205"/>
      <x v="17"/>
    </i>
    <i>
      <x v="543"/>
      <x v="486"/>
      <x v="7"/>
    </i>
    <i>
      <x v="544"/>
      <x v="317"/>
      <x v="15"/>
    </i>
    <i>
      <x v="545"/>
      <x v="317"/>
      <x v="15"/>
    </i>
    <i>
      <x v="546"/>
      <x v="317"/>
      <x v="15"/>
    </i>
    <i>
      <x v="547"/>
      <x v="307"/>
      <x v="37"/>
    </i>
    <i>
      <x v="548"/>
      <x v="296"/>
      <x v="31"/>
    </i>
    <i>
      <x v="549"/>
      <x v="193"/>
      <x v="36"/>
    </i>
    <i>
      <x v="550"/>
      <x v="193"/>
      <x v="36"/>
    </i>
    <i>
      <x v="551"/>
      <x v="287"/>
      <x v="31"/>
    </i>
    <i>
      <x v="552"/>
      <x v="256"/>
      <x v="8"/>
    </i>
    <i>
      <x v="553"/>
      <x v="201"/>
      <x/>
    </i>
    <i>
      <x v="554"/>
      <x v="201"/>
      <x/>
    </i>
    <i>
      <x v="555"/>
      <x v="109"/>
      <x v="27"/>
    </i>
    <i>
      <x v="556"/>
      <x v="535"/>
      <x v="36"/>
    </i>
    <i>
      <x v="557"/>
      <x v="535"/>
      <x v="36"/>
    </i>
    <i>
      <x v="558"/>
      <x v="336"/>
      <x v="35"/>
    </i>
    <i>
      <x v="559"/>
      <x v="240"/>
      <x v="16"/>
    </i>
    <i r="1">
      <x v="310"/>
      <x v="16"/>
    </i>
    <i>
      <x v="560"/>
      <x v="426"/>
      <x v="24"/>
    </i>
    <i>
      <x v="561"/>
      <x v="302"/>
      <x v="31"/>
    </i>
    <i>
      <x v="562"/>
      <x v="302"/>
      <x v="26"/>
    </i>
    <i>
      <x v="563"/>
      <x v="302"/>
      <x v="31"/>
    </i>
    <i>
      <x v="564"/>
      <x v="302"/>
      <x v="31"/>
    </i>
    <i>
      <x v="565"/>
      <x v="189"/>
      <x v="31"/>
    </i>
    <i>
      <x v="566"/>
      <x v="340"/>
      <x v="34"/>
    </i>
    <i>
      <x v="567"/>
      <x v="539"/>
      <x/>
    </i>
    <i>
      <x v="568"/>
      <x v="470"/>
      <x v="14"/>
    </i>
    <i>
      <x v="569"/>
      <x v="88"/>
      <x v="15"/>
    </i>
    <i>
      <x v="570"/>
      <x v="195"/>
      <x v="36"/>
    </i>
    <i>
      <x v="571"/>
      <x v="343"/>
      <x v="32"/>
    </i>
    <i>
      <x v="572"/>
      <x v="391"/>
      <x v="6"/>
    </i>
    <i>
      <x v="573"/>
      <x v="391"/>
      <x v="14"/>
    </i>
    <i>
      <x v="574"/>
      <x v="274"/>
      <x v="37"/>
    </i>
    <i>
      <x v="575"/>
      <x v="274"/>
      <x v="31"/>
    </i>
    <i>
      <x v="576"/>
      <x v="194"/>
      <x v="36"/>
    </i>
    <i>
      <x v="577"/>
      <x v="306"/>
      <x/>
    </i>
    <i>
      <x v="578"/>
      <x v="71"/>
      <x v="11"/>
    </i>
    <i>
      <x v="579"/>
      <x v="323"/>
      <x v="10"/>
    </i>
    <i>
      <x v="580"/>
      <x v="213"/>
      <x v="15"/>
    </i>
    <i>
      <x v="581"/>
      <x v="389"/>
      <x v="13"/>
    </i>
    <i>
      <x v="582"/>
      <x v="268"/>
      <x v="24"/>
    </i>
    <i>
      <x v="583"/>
      <x v="388"/>
      <x v="31"/>
    </i>
    <i>
      <x v="584"/>
      <x v="388"/>
      <x v="31"/>
    </i>
    <i>
      <x v="585"/>
      <x v="388"/>
      <x v="31"/>
    </i>
    <i>
      <x v="586"/>
      <x v="184"/>
      <x v="31"/>
    </i>
    <i>
      <x v="587"/>
      <x v="85"/>
      <x v="8"/>
    </i>
    <i>
      <x v="588"/>
      <x v="76"/>
      <x v="14"/>
    </i>
    <i>
      <x v="589"/>
      <x v="349"/>
      <x v="6"/>
    </i>
    <i>
      <x v="590"/>
      <x v="350"/>
      <x v="6"/>
    </i>
    <i>
      <x v="591"/>
      <x v="358"/>
      <x v="15"/>
    </i>
    <i>
      <x v="592"/>
      <x v="485"/>
      <x v="6"/>
    </i>
    <i>
      <x v="593"/>
      <x v="83"/>
      <x v="8"/>
    </i>
    <i>
      <x v="594"/>
      <x v="286"/>
      <x v="32"/>
    </i>
    <i>
      <x v="595"/>
      <x v="322"/>
      <x v="7"/>
    </i>
    <i>
      <x v="596"/>
      <x v="321"/>
      <x v="7"/>
    </i>
    <i>
      <x v="597"/>
      <x v="180"/>
      <x v="36"/>
    </i>
    <i>
      <x v="598"/>
      <x v="180"/>
      <x v="36"/>
    </i>
    <i>
      <x v="599"/>
      <x v="183"/>
      <x v="26"/>
    </i>
    <i>
      <x v="600"/>
      <x v="183"/>
      <x v="37"/>
    </i>
    <i>
      <x v="601"/>
      <x v="183"/>
      <x v="29"/>
    </i>
    <i>
      <x v="602"/>
      <x v="183"/>
      <x/>
    </i>
    <i>
      <x v="603"/>
      <x v="183"/>
      <x v="1"/>
    </i>
    <i>
      <x v="604"/>
      <x v="192"/>
      <x v="36"/>
    </i>
    <i>
      <x v="605"/>
      <x v="192"/>
      <x v="36"/>
    </i>
    <i>
      <x v="606"/>
      <x v="192"/>
      <x v="36"/>
    </i>
    <i>
      <x v="607"/>
      <x v="191"/>
      <x/>
    </i>
    <i>
      <x v="608"/>
      <x v="481"/>
      <x v="27"/>
    </i>
    <i>
      <x v="609"/>
      <x v="52"/>
      <x v="24"/>
    </i>
    <i>
      <x v="610"/>
      <x v="100"/>
      <x v="29"/>
    </i>
    <i>
      <x v="611"/>
      <x/>
      <x v="15"/>
    </i>
    <i>
      <x v="612"/>
      <x v="1"/>
      <x v="15"/>
    </i>
    <i>
      <x v="613"/>
      <x v="541"/>
      <x v="36"/>
    </i>
    <i>
      <x v="614"/>
      <x v="540"/>
      <x v="36"/>
    </i>
    <i>
      <x v="615"/>
      <x v="182"/>
      <x/>
    </i>
    <i>
      <x v="616"/>
      <x v="533"/>
      <x v="15"/>
    </i>
    <i>
      <x v="617"/>
      <x v="316"/>
      <x v="15"/>
    </i>
    <i>
      <x v="618"/>
      <x v="295"/>
      <x/>
    </i>
    <i>
      <x v="619"/>
      <x v="295"/>
      <x/>
    </i>
    <i>
      <x v="620"/>
      <x v="295"/>
      <x/>
    </i>
    <i>
      <x v="621"/>
      <x v="406"/>
      <x/>
    </i>
    <i>
      <x v="622"/>
      <x v="390"/>
      <x v="11"/>
    </i>
    <i>
      <x v="623"/>
      <x v="247"/>
      <x v="17"/>
    </i>
    <i>
      <x v="624"/>
      <x v="501"/>
      <x v="17"/>
    </i>
    <i>
      <x v="625"/>
      <x v="108"/>
      <x v="29"/>
    </i>
    <i>
      <x v="626"/>
      <x v="301"/>
      <x v="36"/>
    </i>
    <i>
      <x v="627"/>
      <x v="294"/>
      <x v="1"/>
    </i>
    <i>
      <x v="628"/>
      <x v="294"/>
      <x v="1"/>
    </i>
    <i>
      <x v="629"/>
      <x v="294"/>
      <x v="1"/>
    </i>
    <i>
      <x v="630"/>
      <x v="303"/>
      <x/>
    </i>
    <i>
      <x v="631"/>
      <x v="475"/>
      <x v="27"/>
    </i>
    <i>
      <x v="632"/>
      <x v="542"/>
      <x v="36"/>
    </i>
    <i>
      <x v="633"/>
      <x v="90"/>
      <x v="28"/>
    </i>
    <i>
      <x v="634"/>
      <x v="536"/>
      <x v="36"/>
    </i>
    <i>
      <x v="635"/>
      <x v="324"/>
      <x v="17"/>
    </i>
    <i>
      <x v="636"/>
      <x v="293"/>
      <x v="32"/>
    </i>
    <i>
      <x v="637"/>
      <x v="292"/>
      <x v="29"/>
    </i>
    <i>
      <x v="638"/>
      <x v="291"/>
      <x/>
    </i>
    <i>
      <x v="639"/>
      <x v="290"/>
      <x v="29"/>
    </i>
    <i>
      <x v="640"/>
      <x v="210"/>
      <x v="21"/>
    </i>
    <i>
      <x v="641"/>
      <x v="270"/>
      <x v="29"/>
    </i>
    <i>
      <x v="642"/>
      <x v="271"/>
      <x/>
    </i>
    <i>
      <x v="643"/>
      <x v="272"/>
      <x v="37"/>
    </i>
    <i>
      <x v="644"/>
      <x v="273"/>
      <x v="37"/>
    </i>
    <i>
      <x v="645"/>
      <x v="298"/>
      <x/>
    </i>
    <i>
      <x v="646"/>
      <x v="299"/>
      <x v="31"/>
    </i>
    <i>
      <x v="647"/>
      <x v="300"/>
      <x/>
    </i>
    <i>
      <x v="648"/>
      <x v="543"/>
      <x v="36"/>
    </i>
    <i>
      <x v="649"/>
      <x v="543"/>
      <x v="36"/>
    </i>
    <i>
      <x v="650"/>
      <x v="543"/>
      <x v="36"/>
    </i>
    <i>
      <x v="651"/>
      <x v="543"/>
      <x v="36"/>
    </i>
    <i>
      <x v="652"/>
      <x v="168"/>
      <x v="32"/>
    </i>
    <i>
      <x v="653"/>
      <x v="395"/>
      <x v="32"/>
    </i>
    <i>
      <x v="654"/>
      <x v="395"/>
      <x v="32"/>
    </i>
    <i>
      <x v="655"/>
      <x v="395"/>
      <x v="32"/>
    </i>
    <i>
      <x v="656"/>
      <x v="395"/>
      <x v="32"/>
    </i>
    <i>
      <x v="657"/>
      <x v="339"/>
      <x v="32"/>
    </i>
    <i>
      <x v="658"/>
      <x v="381"/>
      <x v="32"/>
    </i>
    <i>
      <x v="659"/>
      <x v="380"/>
      <x v="32"/>
    </i>
    <i>
      <x v="660"/>
      <x v="499"/>
      <x v="32"/>
    </i>
    <i>
      <x v="661"/>
      <x v="334"/>
      <x v="32"/>
    </i>
    <i>
      <x v="662"/>
      <x v="333"/>
      <x v="32"/>
    </i>
    <i>
      <x v="663"/>
      <x v="394"/>
      <x v="32"/>
    </i>
    <i>
      <x v="664"/>
      <x v="387"/>
      <x v="32"/>
    </i>
    <i>
      <x v="665"/>
      <x v="345"/>
      <x v="32"/>
    </i>
    <i>
      <x v="666"/>
      <x v="177"/>
      <x v="32"/>
    </i>
    <i>
      <x v="667"/>
      <x v="31"/>
      <x v="32"/>
    </i>
    <i>
      <x v="668"/>
      <x v="212"/>
      <x v="32"/>
    </i>
    <i>
      <x v="669"/>
      <x v="244"/>
      <x v="3"/>
    </i>
    <i>
      <x v="670"/>
      <x v="91"/>
      <x v="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</a:spPr>
      <a:bodyPr vertOverflow="clip" horzOverflow="clip" rtlCol="0" anchor="t"/>
      <a:lstStyle>
        <a:defPPr algn="ctr">
          <a:defRPr sz="1050" b="0" i="0" u="none" strike="noStrike">
            <a:solidFill>
              <a:srgbClr val="000000"/>
            </a:solidFill>
            <a:latin typeface="Calibri"/>
            <a:ea typeface="Calibri"/>
            <a:cs typeface="Calibri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8240-3F35-47BB-A76C-9C05E3127AF5}">
  <dimension ref="H1:L28"/>
  <sheetViews>
    <sheetView showGridLines="0" tabSelected="1" topLeftCell="A21" workbookViewId="0">
      <selection activeCell="B49" sqref="B49"/>
    </sheetView>
  </sheetViews>
  <sheetFormatPr baseColWidth="10" defaultRowHeight="14.5" x14ac:dyDescent="0.35"/>
  <cols>
    <col min="7" max="7" width="11.7265625" customWidth="1"/>
    <col min="9" max="9" width="3" customWidth="1"/>
    <col min="10" max="10" width="7" bestFit="1" customWidth="1"/>
    <col min="11" max="11" width="54" bestFit="1" customWidth="1"/>
    <col min="12" max="12" width="15.81640625" bestFit="1" customWidth="1"/>
  </cols>
  <sheetData>
    <row r="1" spans="8:12" ht="15" thickBot="1" x14ac:dyDescent="0.4">
      <c r="J1" s="7" t="s">
        <v>1312</v>
      </c>
      <c r="K1" s="7" t="s">
        <v>1313</v>
      </c>
      <c r="L1" s="7" t="s">
        <v>1269</v>
      </c>
    </row>
    <row r="2" spans="8:12" ht="15" thickTop="1" x14ac:dyDescent="0.35">
      <c r="J2" s="25" t="s">
        <v>329</v>
      </c>
      <c r="K2" s="1" t="str">
        <f>VLOOKUP(J2,Hoja1!A:B,2,0)</f>
        <v>SACABOCADO  MILWAUKEE M18 LOGIC 10T</v>
      </c>
      <c r="L2" t="str">
        <f>+_xlfn.XLOOKUP(J2,Hoja1!$A:$A,Hoja1!$C:$C,"")</f>
        <v>B1, N1 M1_WTC</v>
      </c>
    </row>
    <row r="3" spans="8:12" x14ac:dyDescent="0.35">
      <c r="J3" s="25" t="s">
        <v>1229</v>
      </c>
      <c r="K3" s="1" t="str">
        <f>VLOOKUP(J3,Hoja1!A:B,2,0)</f>
        <v>MAQUINA DE CORTE DE NULEO MTM 1CN008</v>
      </c>
      <c r="L3" t="str">
        <f>+_xlfn.XLOOKUP(J3,Hoja1!$A:$A,Hoja1!$C:$C,"")</f>
        <v>B1, N1_WTC</v>
      </c>
    </row>
    <row r="4" spans="8:12" x14ac:dyDescent="0.35">
      <c r="J4" s="25" t="s">
        <v>1200</v>
      </c>
      <c r="K4" s="1" t="str">
        <f>VLOOKUP(J4,Hoja1!A:B,2,0)</f>
        <v>BOBINADORA ALTA TENSION RESINA (PE011)</v>
      </c>
      <c r="L4" t="str">
        <f>+_xlfn.XLOOKUP(J4,Hoja1!$A:$A,Hoja1!$C:$C,"")</f>
        <v>B1, N1_WTC</v>
      </c>
    </row>
    <row r="5" spans="8:12" x14ac:dyDescent="0.35">
      <c r="J5" s="25" t="s">
        <v>1019</v>
      </c>
      <c r="K5" s="1" t="str">
        <f>VLOOKUP(J5,Hoja1!A:B,2,0)</f>
        <v>MAQUINA DE CORTE DE NUCLEO MTM 2 CN010</v>
      </c>
      <c r="L5" t="str">
        <f>+_xlfn.XLOOKUP(J5,Hoja1!$A:$A,Hoja1!$C:$C,"")</f>
        <v>B1, N1_WTC</v>
      </c>
    </row>
    <row r="6" spans="8:12" x14ac:dyDescent="0.35">
      <c r="J6" s="25" t="s">
        <v>1009</v>
      </c>
      <c r="K6" s="1" t="str">
        <f>VLOOKUP(J6,Hoja1!A:B,2,0)</f>
        <v>MAQUINA ROSCADORA DE TUBERIA</v>
      </c>
      <c r="L6" t="str">
        <f>+_xlfn.XLOOKUP(J6,Hoja1!$A:$A,Hoja1!$C:$C,"")</f>
        <v>B1, N1_WTC</v>
      </c>
    </row>
    <row r="7" spans="8:12" x14ac:dyDescent="0.35">
      <c r="J7" s="25" t="s">
        <v>993</v>
      </c>
      <c r="K7" s="1" t="str">
        <f>VLOOKUP(J7,Hoja1!A:B,2,0)</f>
        <v>BASCULA PARA CORTE HORNO</v>
      </c>
      <c r="L7" t="str">
        <f>+_xlfn.XLOOKUP(J7,Hoja1!$A:$A,Hoja1!$C:$C,"")</f>
        <v>B1, N1_WTC</v>
      </c>
    </row>
    <row r="8" spans="8:12" x14ac:dyDescent="0.35">
      <c r="J8" s="25" t="s">
        <v>748</v>
      </c>
      <c r="K8" s="1" t="str">
        <f>VLOOKUP(J8,Hoja1!A:B,2,0)</f>
        <v>POLIPASTO DE 3 TON CORTE NAVE 1 ATRAS</v>
      </c>
      <c r="L8" t="str">
        <f>+_xlfn.XLOOKUP(J8,Hoja1!$A:$A,Hoja1!$C:$C,"")</f>
        <v>B1, N1_WTC</v>
      </c>
    </row>
    <row r="9" spans="8:12" x14ac:dyDescent="0.35">
      <c r="J9" s="25" t="s">
        <v>743</v>
      </c>
      <c r="K9" s="1" t="str">
        <f>VLOOKUP(J9,Hoja1!A:B,2,0)</f>
        <v>PUENTE GRUA 5TON BODEGA 1 NAVE 1 ADEL GN016</v>
      </c>
      <c r="L9" t="str">
        <f>+_xlfn.XLOOKUP(J9,Hoja1!$A:$A,Hoja1!$C:$C,"")</f>
        <v>B1, N1_WTC</v>
      </c>
    </row>
    <row r="10" spans="8:12" x14ac:dyDescent="0.35">
      <c r="J10" s="25" t="s">
        <v>7</v>
      </c>
      <c r="K10" s="1" t="str">
        <f>VLOOKUP(J10,Hoja1!A:B,2,0)</f>
        <v>FABRICACION DISPOSITIVO DE CARGUE</v>
      </c>
      <c r="L10" t="str">
        <f>+_xlfn.XLOOKUP(J10,Hoja1!$A:$A,Hoja1!$C:$C,"")</f>
        <v>B1, N1_WTC</v>
      </c>
    </row>
    <row r="11" spans="8:12" x14ac:dyDescent="0.35">
      <c r="J11" s="25" t="s">
        <v>1253</v>
      </c>
      <c r="K11" s="1" t="str">
        <f>VLOOKUP(J11,Hoja1!A:B,2,0)</f>
        <v>DOBLADORA HIDRAULICA (EN079)</v>
      </c>
      <c r="L11" t="str">
        <f>+_xlfn.XLOOKUP(J11,Hoja1!$A:$A,Hoja1!$C:$C,"")</f>
        <v>B1, N2, M2_WTC</v>
      </c>
    </row>
    <row r="12" spans="8:12" x14ac:dyDescent="0.35">
      <c r="H12" s="1"/>
      <c r="J12" s="25" t="s">
        <v>764</v>
      </c>
      <c r="K12" s="1" t="str">
        <f>VLOOKUP(J12,Hoja1!A:B,2,0)</f>
        <v>TALADRO DE BANCO TOTECH REF 45E CON CAJA DE PIÑON</v>
      </c>
      <c r="L12" t="str">
        <f>+_xlfn.XLOOKUP(J12,Hoja1!$A:$A,Hoja1!$C:$C,"")</f>
        <v>B1, N2, M2_WTC</v>
      </c>
    </row>
    <row r="13" spans="8:12" x14ac:dyDescent="0.35">
      <c r="K13">
        <f>+_xlfn.XLOOKUP(J13,Hoja1!$A:$A,Hoja1!$B:$B,"")</f>
        <v>0</v>
      </c>
      <c r="L13">
        <f>+_xlfn.XLOOKUP(J13,Hoja1!$A:$A,Hoja1!$C:$C,"")</f>
        <v>0</v>
      </c>
    </row>
    <row r="14" spans="8:12" x14ac:dyDescent="0.35">
      <c r="K14">
        <f>+_xlfn.XLOOKUP(J14,Hoja1!$A:$A,Hoja1!$B:$B,"")</f>
        <v>0</v>
      </c>
      <c r="L14">
        <f>+_xlfn.XLOOKUP(J14,Hoja1!$A:$A,Hoja1!$C:$C,"")</f>
        <v>0</v>
      </c>
    </row>
    <row r="15" spans="8:12" x14ac:dyDescent="0.35">
      <c r="K15">
        <f>+_xlfn.XLOOKUP(J15,Hoja1!$A:$A,Hoja1!$B:$B,"")</f>
        <v>0</v>
      </c>
      <c r="L15">
        <f>+_xlfn.XLOOKUP(J15,Hoja1!$A:$A,Hoja1!$C:$C,"")</f>
        <v>0</v>
      </c>
    </row>
    <row r="16" spans="8:12" x14ac:dyDescent="0.35">
      <c r="K16">
        <f>+_xlfn.XLOOKUP(J16,Hoja1!$A:$A,Hoja1!$B:$B,"")</f>
        <v>0</v>
      </c>
      <c r="L16">
        <f>+_xlfn.XLOOKUP(J16,Hoja1!$A:$A,Hoja1!$C:$C,"")</f>
        <v>0</v>
      </c>
    </row>
    <row r="17" spans="11:12" x14ac:dyDescent="0.35">
      <c r="K17">
        <f>+_xlfn.XLOOKUP(J17,Hoja1!$A:$A,Hoja1!$B:$B,"")</f>
        <v>0</v>
      </c>
      <c r="L17">
        <f>+_xlfn.XLOOKUP(J17,Hoja1!$A:$A,Hoja1!$C:$C,"")</f>
        <v>0</v>
      </c>
    </row>
    <row r="18" spans="11:12" x14ac:dyDescent="0.35">
      <c r="K18">
        <f>+_xlfn.XLOOKUP(J18,Hoja1!$A:$A,Hoja1!$B:$B,"")</f>
        <v>0</v>
      </c>
      <c r="L18">
        <f>+_xlfn.XLOOKUP(J18,Hoja1!$A:$A,Hoja1!$C:$C,"")</f>
        <v>0</v>
      </c>
    </row>
    <row r="19" spans="11:12" x14ac:dyDescent="0.35">
      <c r="K19">
        <f>+_xlfn.XLOOKUP(J19,Hoja1!$A:$A,Hoja1!$B:$B,"")</f>
        <v>0</v>
      </c>
      <c r="L19">
        <f>+_xlfn.XLOOKUP(J19,Hoja1!$A:$A,Hoja1!$C:$C,"")</f>
        <v>0</v>
      </c>
    </row>
    <row r="20" spans="11:12" x14ac:dyDescent="0.35">
      <c r="K20">
        <f>+_xlfn.XLOOKUP(J20,Hoja1!$A:$A,Hoja1!$B:$B,"")</f>
        <v>0</v>
      </c>
      <c r="L20">
        <f>+_xlfn.XLOOKUP(J20,Hoja1!$A:$A,Hoja1!$C:$C,"")</f>
        <v>0</v>
      </c>
    </row>
    <row r="21" spans="11:12" x14ac:dyDescent="0.35">
      <c r="K21">
        <f>+_xlfn.XLOOKUP(J21,Hoja1!$A:$A,Hoja1!$B:$B,"")</f>
        <v>0</v>
      </c>
      <c r="L21">
        <f>+_xlfn.XLOOKUP(J21,Hoja1!$A:$A,Hoja1!$C:$C,"")</f>
        <v>0</v>
      </c>
    </row>
    <row r="22" spans="11:12" x14ac:dyDescent="0.35">
      <c r="K22">
        <f>+_xlfn.XLOOKUP(J22,Hoja1!$A:$A,Hoja1!$B:$B,"")</f>
        <v>0</v>
      </c>
      <c r="L22">
        <f>+_xlfn.XLOOKUP(J22,Hoja1!$A:$A,Hoja1!$C:$C,"")</f>
        <v>0</v>
      </c>
    </row>
    <row r="23" spans="11:12" x14ac:dyDescent="0.35">
      <c r="K23">
        <f>+_xlfn.XLOOKUP(J23,Hoja1!$A:$A,Hoja1!$B:$B,"")</f>
        <v>0</v>
      </c>
      <c r="L23">
        <f>+_xlfn.XLOOKUP(J23,Hoja1!$A:$A,Hoja1!$C:$C,"")</f>
        <v>0</v>
      </c>
    </row>
    <row r="24" spans="11:12" x14ac:dyDescent="0.35">
      <c r="K24">
        <f>+_xlfn.XLOOKUP(J24,Hoja1!$A:$A,Hoja1!$B:$B,"")</f>
        <v>0</v>
      </c>
      <c r="L24">
        <f>+_xlfn.XLOOKUP(J24,Hoja1!$A:$A,Hoja1!$C:$C,"")</f>
        <v>0</v>
      </c>
    </row>
    <row r="25" spans="11:12" x14ac:dyDescent="0.35">
      <c r="K25">
        <f>+_xlfn.XLOOKUP(J25,Hoja1!$A:$A,Hoja1!$B:$B,"")</f>
        <v>0</v>
      </c>
      <c r="L25">
        <f>+_xlfn.XLOOKUP(J25,Hoja1!$A:$A,Hoja1!$C:$C,"")</f>
        <v>0</v>
      </c>
    </row>
    <row r="26" spans="11:12" x14ac:dyDescent="0.35">
      <c r="K26">
        <f>+_xlfn.XLOOKUP(J26,Hoja1!$A:$A,Hoja1!$B:$B,"")</f>
        <v>0</v>
      </c>
      <c r="L26">
        <f>+_xlfn.XLOOKUP(J26,Hoja1!$A:$A,Hoja1!$C:$C,"")</f>
        <v>0</v>
      </c>
    </row>
    <row r="27" spans="11:12" x14ac:dyDescent="0.35">
      <c r="K27">
        <f>+_xlfn.XLOOKUP(J27,Hoja1!$A:$A,Hoja1!$B:$B,"")</f>
        <v>0</v>
      </c>
      <c r="L27">
        <f>+_xlfn.XLOOKUP(J27,Hoja1!$A:$A,Hoja1!$C:$C,"")</f>
        <v>0</v>
      </c>
    </row>
    <row r="28" spans="11:12" x14ac:dyDescent="0.35">
      <c r="K28">
        <f>+_xlfn.XLOOKUP(J28,Hoja1!$A:$A,Hoja1!$B:$B,"")</f>
        <v>0</v>
      </c>
      <c r="L28">
        <f>+_xlfn.XLOOKUP(J28,Hoja1!$A:$A,Hoja1!$C:$C,"")</f>
        <v>0</v>
      </c>
    </row>
  </sheetData>
  <phoneticPr fontId="3" type="noConversion"/>
  <conditionalFormatting sqref="J1 J13:J1048576">
    <cfRule type="duplicateValues" dxfId="5" priority="3"/>
  </conditionalFormatting>
  <conditionalFormatting sqref="J2:J12">
    <cfRule type="duplicateValues" dxfId="0" priority="1"/>
  </conditionalFormatting>
  <pageMargins left="0.7" right="0.7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4506-889F-45C8-8A37-4713F54C303B}">
  <sheetPr filterMode="1"/>
  <dimension ref="A1:C671"/>
  <sheetViews>
    <sheetView workbookViewId="0">
      <selection activeCell="B256" sqref="B256"/>
    </sheetView>
  </sheetViews>
  <sheetFormatPr baseColWidth="10" defaultRowHeight="14.5" x14ac:dyDescent="0.35"/>
  <cols>
    <col min="1" max="1" width="13" bestFit="1" customWidth="1"/>
    <col min="2" max="2" width="64.7265625" customWidth="1"/>
    <col min="3" max="3" width="34.26953125" bestFit="1" customWidth="1"/>
  </cols>
  <sheetData>
    <row r="1" spans="1:3" x14ac:dyDescent="0.35">
      <c r="A1" t="s">
        <v>1266</v>
      </c>
      <c r="B1" t="s">
        <v>1264</v>
      </c>
      <c r="C1" t="s">
        <v>1269</v>
      </c>
    </row>
    <row r="2" spans="1:3" hidden="1" x14ac:dyDescent="0.35">
      <c r="A2" s="25" t="s">
        <v>1241</v>
      </c>
      <c r="B2" t="s">
        <v>1240</v>
      </c>
      <c r="C2" t="s">
        <v>1314</v>
      </c>
    </row>
    <row r="3" spans="1:3" hidden="1" x14ac:dyDescent="0.35">
      <c r="A3" s="25" t="s">
        <v>1178</v>
      </c>
      <c r="B3" t="s">
        <v>1177</v>
      </c>
      <c r="C3" t="s">
        <v>1314</v>
      </c>
    </row>
    <row r="4" spans="1:3" hidden="1" x14ac:dyDescent="0.35">
      <c r="A4" s="25" t="s">
        <v>1168</v>
      </c>
      <c r="B4" t="s">
        <v>1167</v>
      </c>
      <c r="C4" t="s">
        <v>1314</v>
      </c>
    </row>
    <row r="5" spans="1:3" hidden="1" x14ac:dyDescent="0.35">
      <c r="A5" s="25" t="s">
        <v>987</v>
      </c>
      <c r="B5" t="s">
        <v>986</v>
      </c>
      <c r="C5" t="s">
        <v>1314</v>
      </c>
    </row>
    <row r="6" spans="1:3" hidden="1" x14ac:dyDescent="0.35">
      <c r="A6" s="25" t="s">
        <v>985</v>
      </c>
      <c r="B6" t="s">
        <v>984</v>
      </c>
      <c r="C6" t="s">
        <v>1314</v>
      </c>
    </row>
    <row r="7" spans="1:3" hidden="1" x14ac:dyDescent="0.35">
      <c r="A7" s="25" t="s">
        <v>983</v>
      </c>
      <c r="B7" t="s">
        <v>982</v>
      </c>
      <c r="C7" t="s">
        <v>1314</v>
      </c>
    </row>
    <row r="8" spans="1:3" hidden="1" x14ac:dyDescent="0.35">
      <c r="A8" s="25" t="s">
        <v>979</v>
      </c>
      <c r="B8" t="s">
        <v>978</v>
      </c>
      <c r="C8" t="s">
        <v>1314</v>
      </c>
    </row>
    <row r="9" spans="1:3" hidden="1" x14ac:dyDescent="0.35">
      <c r="A9" s="25" t="s">
        <v>977</v>
      </c>
      <c r="B9" t="s">
        <v>976</v>
      </c>
      <c r="C9" t="s">
        <v>1314</v>
      </c>
    </row>
    <row r="10" spans="1:3" hidden="1" x14ac:dyDescent="0.35">
      <c r="A10" s="25" t="s">
        <v>975</v>
      </c>
      <c r="B10" t="s">
        <v>973</v>
      </c>
      <c r="C10" t="s">
        <v>1314</v>
      </c>
    </row>
    <row r="11" spans="1:3" hidden="1" x14ac:dyDescent="0.35">
      <c r="A11" s="25" t="s">
        <v>974</v>
      </c>
      <c r="B11" t="s">
        <v>973</v>
      </c>
      <c r="C11" t="s">
        <v>1314</v>
      </c>
    </row>
    <row r="12" spans="1:3" hidden="1" x14ac:dyDescent="0.35">
      <c r="A12" s="25" t="s">
        <v>972</v>
      </c>
      <c r="B12" t="s">
        <v>948</v>
      </c>
      <c r="C12" t="s">
        <v>1314</v>
      </c>
    </row>
    <row r="13" spans="1:3" hidden="1" x14ac:dyDescent="0.35">
      <c r="A13" s="25" t="s">
        <v>971</v>
      </c>
      <c r="B13" t="s">
        <v>948</v>
      </c>
      <c r="C13" t="s">
        <v>1314</v>
      </c>
    </row>
    <row r="14" spans="1:3" hidden="1" x14ac:dyDescent="0.35">
      <c r="A14" s="25" t="s">
        <v>970</v>
      </c>
      <c r="B14" t="s">
        <v>948</v>
      </c>
      <c r="C14" t="s">
        <v>1314</v>
      </c>
    </row>
    <row r="15" spans="1:3" hidden="1" x14ac:dyDescent="0.35">
      <c r="A15" s="25" t="s">
        <v>969</v>
      </c>
      <c r="B15" t="s">
        <v>948</v>
      </c>
      <c r="C15" t="s">
        <v>1314</v>
      </c>
    </row>
    <row r="16" spans="1:3" hidden="1" x14ac:dyDescent="0.35">
      <c r="A16" s="25" t="s">
        <v>968</v>
      </c>
      <c r="B16" t="s">
        <v>948</v>
      </c>
      <c r="C16" t="s">
        <v>1314</v>
      </c>
    </row>
    <row r="17" spans="1:3" hidden="1" x14ac:dyDescent="0.35">
      <c r="A17" s="25" t="s">
        <v>967</v>
      </c>
      <c r="B17" t="s">
        <v>948</v>
      </c>
      <c r="C17" t="s">
        <v>1314</v>
      </c>
    </row>
    <row r="18" spans="1:3" hidden="1" x14ac:dyDescent="0.35">
      <c r="A18" s="25" t="s">
        <v>962</v>
      </c>
      <c r="B18" t="s">
        <v>960</v>
      </c>
      <c r="C18" t="s">
        <v>1314</v>
      </c>
    </row>
    <row r="19" spans="1:3" hidden="1" x14ac:dyDescent="0.35">
      <c r="A19" s="25" t="s">
        <v>961</v>
      </c>
      <c r="B19" t="s">
        <v>960</v>
      </c>
      <c r="C19" t="s">
        <v>1314</v>
      </c>
    </row>
    <row r="20" spans="1:3" hidden="1" x14ac:dyDescent="0.35">
      <c r="A20" s="25" t="s">
        <v>926</v>
      </c>
      <c r="B20" t="s">
        <v>925</v>
      </c>
      <c r="C20" t="s">
        <v>1314</v>
      </c>
    </row>
    <row r="21" spans="1:3" hidden="1" x14ac:dyDescent="0.35">
      <c r="A21" s="25" t="s">
        <v>922</v>
      </c>
      <c r="B21" t="s">
        <v>920</v>
      </c>
      <c r="C21" t="s">
        <v>1314</v>
      </c>
    </row>
    <row r="22" spans="1:3" hidden="1" x14ac:dyDescent="0.35">
      <c r="A22" s="25" t="s">
        <v>921</v>
      </c>
      <c r="B22" t="s">
        <v>920</v>
      </c>
      <c r="C22" t="s">
        <v>1314</v>
      </c>
    </row>
    <row r="23" spans="1:3" hidden="1" x14ac:dyDescent="0.35">
      <c r="A23" s="25" t="s">
        <v>888</v>
      </c>
      <c r="B23" t="s">
        <v>887</v>
      </c>
      <c r="C23" t="s">
        <v>1314</v>
      </c>
    </row>
    <row r="24" spans="1:3" hidden="1" x14ac:dyDescent="0.35">
      <c r="A24" s="25" t="s">
        <v>880</v>
      </c>
      <c r="B24" t="s">
        <v>879</v>
      </c>
      <c r="C24" t="s">
        <v>1314</v>
      </c>
    </row>
    <row r="25" spans="1:3" hidden="1" x14ac:dyDescent="0.35">
      <c r="A25" s="25" t="s">
        <v>870</v>
      </c>
      <c r="B25" t="s">
        <v>869</v>
      </c>
      <c r="C25" t="s">
        <v>1314</v>
      </c>
    </row>
    <row r="26" spans="1:3" hidden="1" x14ac:dyDescent="0.35">
      <c r="A26" s="25" t="s">
        <v>862</v>
      </c>
      <c r="B26" t="s">
        <v>861</v>
      </c>
      <c r="C26" t="s">
        <v>1314</v>
      </c>
    </row>
    <row r="27" spans="1:3" hidden="1" x14ac:dyDescent="0.35">
      <c r="A27" s="25" t="s">
        <v>820</v>
      </c>
      <c r="B27" t="s">
        <v>819</v>
      </c>
      <c r="C27" t="s">
        <v>1314</v>
      </c>
    </row>
    <row r="28" spans="1:3" hidden="1" x14ac:dyDescent="0.35">
      <c r="A28" s="25" t="s">
        <v>680</v>
      </c>
      <c r="B28" t="s">
        <v>679</v>
      </c>
      <c r="C28" t="s">
        <v>1314</v>
      </c>
    </row>
    <row r="29" spans="1:3" hidden="1" x14ac:dyDescent="0.35">
      <c r="A29" s="25" t="s">
        <v>670</v>
      </c>
      <c r="B29" t="s">
        <v>669</v>
      </c>
      <c r="C29" t="s">
        <v>1314</v>
      </c>
    </row>
    <row r="30" spans="1:3" hidden="1" x14ac:dyDescent="0.35">
      <c r="A30" s="25" t="s">
        <v>665</v>
      </c>
      <c r="B30" t="s">
        <v>664</v>
      </c>
      <c r="C30" t="s">
        <v>1314</v>
      </c>
    </row>
    <row r="31" spans="1:3" hidden="1" x14ac:dyDescent="0.35">
      <c r="A31" s="25" t="s">
        <v>663</v>
      </c>
      <c r="B31" t="s">
        <v>662</v>
      </c>
      <c r="C31" t="s">
        <v>1314</v>
      </c>
    </row>
    <row r="32" spans="1:3" hidden="1" x14ac:dyDescent="0.35">
      <c r="A32" s="25" t="s">
        <v>661</v>
      </c>
      <c r="B32" t="s">
        <v>660</v>
      </c>
      <c r="C32" t="s">
        <v>1314</v>
      </c>
    </row>
    <row r="33" spans="1:3" hidden="1" x14ac:dyDescent="0.35">
      <c r="A33" s="25" t="s">
        <v>659</v>
      </c>
      <c r="B33" t="s">
        <v>657</v>
      </c>
      <c r="C33" t="s">
        <v>1314</v>
      </c>
    </row>
    <row r="34" spans="1:3" hidden="1" x14ac:dyDescent="0.35">
      <c r="A34" s="25" t="s">
        <v>658</v>
      </c>
      <c r="B34" t="s">
        <v>657</v>
      </c>
      <c r="C34" t="s">
        <v>1314</v>
      </c>
    </row>
    <row r="35" spans="1:3" hidden="1" x14ac:dyDescent="0.35">
      <c r="A35" s="25" t="s">
        <v>656</v>
      </c>
      <c r="B35" t="s">
        <v>655</v>
      </c>
      <c r="C35" t="s">
        <v>1314</v>
      </c>
    </row>
    <row r="36" spans="1:3" hidden="1" x14ac:dyDescent="0.35">
      <c r="A36" s="25" t="s">
        <v>644</v>
      </c>
      <c r="B36" t="s">
        <v>652</v>
      </c>
      <c r="C36" t="s">
        <v>1314</v>
      </c>
    </row>
    <row r="37" spans="1:3" hidden="1" x14ac:dyDescent="0.35">
      <c r="A37" s="25" t="s">
        <v>641</v>
      </c>
      <c r="B37" t="s">
        <v>639</v>
      </c>
      <c r="C37" t="s">
        <v>1314</v>
      </c>
    </row>
    <row r="38" spans="1:3" hidden="1" x14ac:dyDescent="0.35">
      <c r="A38" s="25" t="s">
        <v>625</v>
      </c>
      <c r="B38" t="s">
        <v>624</v>
      </c>
      <c r="C38" t="s">
        <v>1314</v>
      </c>
    </row>
    <row r="39" spans="1:3" hidden="1" x14ac:dyDescent="0.35">
      <c r="A39" s="25" t="s">
        <v>623</v>
      </c>
      <c r="B39" t="s">
        <v>622</v>
      </c>
      <c r="C39" t="s">
        <v>1314</v>
      </c>
    </row>
    <row r="40" spans="1:3" hidden="1" x14ac:dyDescent="0.35">
      <c r="A40" s="25" t="s">
        <v>621</v>
      </c>
      <c r="B40" t="s">
        <v>620</v>
      </c>
      <c r="C40" t="s">
        <v>1314</v>
      </c>
    </row>
    <row r="41" spans="1:3" hidden="1" x14ac:dyDescent="0.35">
      <c r="A41" s="25" t="s">
        <v>619</v>
      </c>
      <c r="B41" t="s">
        <v>618</v>
      </c>
      <c r="C41" t="s">
        <v>1314</v>
      </c>
    </row>
    <row r="42" spans="1:3" hidden="1" x14ac:dyDescent="0.35">
      <c r="A42" s="25" t="s">
        <v>617</v>
      </c>
      <c r="B42" t="s">
        <v>616</v>
      </c>
      <c r="C42" t="s">
        <v>1314</v>
      </c>
    </row>
    <row r="43" spans="1:3" hidden="1" x14ac:dyDescent="0.35">
      <c r="A43" s="25" t="s">
        <v>615</v>
      </c>
      <c r="B43" t="s">
        <v>614</v>
      </c>
      <c r="C43" t="s">
        <v>1314</v>
      </c>
    </row>
    <row r="44" spans="1:3" hidden="1" x14ac:dyDescent="0.35">
      <c r="A44" s="25" t="s">
        <v>612</v>
      </c>
      <c r="B44" t="s">
        <v>611</v>
      </c>
      <c r="C44" t="s">
        <v>1314</v>
      </c>
    </row>
    <row r="45" spans="1:3" hidden="1" x14ac:dyDescent="0.35">
      <c r="A45" s="25" t="s">
        <v>608</v>
      </c>
      <c r="B45" t="s">
        <v>607</v>
      </c>
      <c r="C45" t="s">
        <v>1314</v>
      </c>
    </row>
    <row r="46" spans="1:3" hidden="1" x14ac:dyDescent="0.35">
      <c r="A46" s="25" t="s">
        <v>606</v>
      </c>
      <c r="B46" t="s">
        <v>605</v>
      </c>
      <c r="C46" t="s">
        <v>1314</v>
      </c>
    </row>
    <row r="47" spans="1:3" hidden="1" x14ac:dyDescent="0.35">
      <c r="A47" s="25" t="s">
        <v>598</v>
      </c>
      <c r="B47" t="s">
        <v>596</v>
      </c>
      <c r="C47" t="s">
        <v>1314</v>
      </c>
    </row>
    <row r="48" spans="1:3" hidden="1" x14ac:dyDescent="0.35">
      <c r="A48" s="25" t="s">
        <v>597</v>
      </c>
      <c r="B48" t="s">
        <v>596</v>
      </c>
      <c r="C48" t="s">
        <v>1314</v>
      </c>
    </row>
    <row r="49" spans="1:3" hidden="1" x14ac:dyDescent="0.35">
      <c r="A49" s="25" t="s">
        <v>595</v>
      </c>
      <c r="B49" t="s">
        <v>588</v>
      </c>
      <c r="C49" t="s">
        <v>1314</v>
      </c>
    </row>
    <row r="50" spans="1:3" hidden="1" x14ac:dyDescent="0.35">
      <c r="A50" s="25" t="s">
        <v>594</v>
      </c>
      <c r="B50" t="s">
        <v>588</v>
      </c>
      <c r="C50" t="s">
        <v>1314</v>
      </c>
    </row>
    <row r="51" spans="1:3" hidden="1" x14ac:dyDescent="0.35">
      <c r="A51" s="25" t="s">
        <v>593</v>
      </c>
      <c r="B51" t="s">
        <v>588</v>
      </c>
      <c r="C51" t="s">
        <v>1314</v>
      </c>
    </row>
    <row r="52" spans="1:3" hidden="1" x14ac:dyDescent="0.35">
      <c r="A52" s="25" t="s">
        <v>592</v>
      </c>
      <c r="B52" t="s">
        <v>588</v>
      </c>
      <c r="C52" t="s">
        <v>1314</v>
      </c>
    </row>
    <row r="53" spans="1:3" hidden="1" x14ac:dyDescent="0.35">
      <c r="A53" s="25" t="s">
        <v>591</v>
      </c>
      <c r="B53" t="s">
        <v>588</v>
      </c>
      <c r="C53" t="s">
        <v>1314</v>
      </c>
    </row>
    <row r="54" spans="1:3" hidden="1" x14ac:dyDescent="0.35">
      <c r="A54" s="25" t="s">
        <v>590</v>
      </c>
      <c r="B54" t="s">
        <v>588</v>
      </c>
      <c r="C54" t="s">
        <v>1314</v>
      </c>
    </row>
    <row r="55" spans="1:3" hidden="1" x14ac:dyDescent="0.35">
      <c r="A55" s="25" t="s">
        <v>589</v>
      </c>
      <c r="B55" t="s">
        <v>588</v>
      </c>
      <c r="C55" t="s">
        <v>1314</v>
      </c>
    </row>
    <row r="56" spans="1:3" hidden="1" x14ac:dyDescent="0.35">
      <c r="A56" s="25" t="s">
        <v>587</v>
      </c>
      <c r="B56" t="s">
        <v>586</v>
      </c>
      <c r="C56" t="s">
        <v>1314</v>
      </c>
    </row>
    <row r="57" spans="1:3" hidden="1" x14ac:dyDescent="0.35">
      <c r="A57" s="25" t="s">
        <v>585</v>
      </c>
      <c r="B57" t="s">
        <v>584</v>
      </c>
      <c r="C57" t="s">
        <v>1314</v>
      </c>
    </row>
    <row r="58" spans="1:3" hidden="1" x14ac:dyDescent="0.35">
      <c r="A58" s="25" t="s">
        <v>559</v>
      </c>
      <c r="B58" t="s">
        <v>558</v>
      </c>
      <c r="C58" t="s">
        <v>1314</v>
      </c>
    </row>
    <row r="59" spans="1:3" hidden="1" x14ac:dyDescent="0.35">
      <c r="A59" s="25" t="s">
        <v>555</v>
      </c>
      <c r="B59" t="s">
        <v>554</v>
      </c>
      <c r="C59" t="s">
        <v>1314</v>
      </c>
    </row>
    <row r="60" spans="1:3" hidden="1" x14ac:dyDescent="0.35">
      <c r="A60" s="25" t="s">
        <v>546</v>
      </c>
      <c r="B60" t="s">
        <v>545</v>
      </c>
      <c r="C60" t="s">
        <v>1314</v>
      </c>
    </row>
    <row r="61" spans="1:3" hidden="1" x14ac:dyDescent="0.35">
      <c r="A61" s="25" t="s">
        <v>532</v>
      </c>
      <c r="B61" t="s">
        <v>531</v>
      </c>
      <c r="C61" t="s">
        <v>1314</v>
      </c>
    </row>
    <row r="62" spans="1:3" hidden="1" x14ac:dyDescent="0.35">
      <c r="A62" s="25" t="s">
        <v>528</v>
      </c>
      <c r="B62" t="s">
        <v>527</v>
      </c>
      <c r="C62" t="s">
        <v>1314</v>
      </c>
    </row>
    <row r="63" spans="1:3" hidden="1" x14ac:dyDescent="0.35">
      <c r="A63" s="25" t="s">
        <v>524</v>
      </c>
      <c r="B63" t="s">
        <v>523</v>
      </c>
      <c r="C63" t="s">
        <v>1314</v>
      </c>
    </row>
    <row r="64" spans="1:3" hidden="1" x14ac:dyDescent="0.35">
      <c r="A64" s="25" t="s">
        <v>489</v>
      </c>
      <c r="B64" t="s">
        <v>488</v>
      </c>
      <c r="C64" t="s">
        <v>1314</v>
      </c>
    </row>
    <row r="65" spans="1:3" hidden="1" x14ac:dyDescent="0.35">
      <c r="A65" s="25" t="s">
        <v>487</v>
      </c>
      <c r="B65" t="s">
        <v>486</v>
      </c>
      <c r="C65" t="s">
        <v>1314</v>
      </c>
    </row>
    <row r="66" spans="1:3" hidden="1" x14ac:dyDescent="0.35">
      <c r="A66" s="25" t="s">
        <v>454</v>
      </c>
      <c r="B66" t="s">
        <v>451</v>
      </c>
      <c r="C66" t="s">
        <v>1314</v>
      </c>
    </row>
    <row r="67" spans="1:3" hidden="1" x14ac:dyDescent="0.35">
      <c r="A67" s="25" t="s">
        <v>432</v>
      </c>
      <c r="B67" t="s">
        <v>430</v>
      </c>
      <c r="C67" t="s">
        <v>1314</v>
      </c>
    </row>
    <row r="68" spans="1:3" hidden="1" x14ac:dyDescent="0.35">
      <c r="A68" s="25" t="s">
        <v>421</v>
      </c>
      <c r="B68" t="s">
        <v>418</v>
      </c>
      <c r="C68" t="s">
        <v>1314</v>
      </c>
    </row>
    <row r="69" spans="1:3" hidden="1" x14ac:dyDescent="0.35">
      <c r="A69" s="25" t="s">
        <v>419</v>
      </c>
      <c r="B69" t="s">
        <v>418</v>
      </c>
      <c r="C69" t="s">
        <v>1314</v>
      </c>
    </row>
    <row r="70" spans="1:3" hidden="1" x14ac:dyDescent="0.35">
      <c r="A70" s="25" t="s">
        <v>415</v>
      </c>
      <c r="B70" t="s">
        <v>412</v>
      </c>
      <c r="C70" t="s">
        <v>1314</v>
      </c>
    </row>
    <row r="71" spans="1:3" hidden="1" x14ac:dyDescent="0.35">
      <c r="A71" s="25" t="s">
        <v>414</v>
      </c>
      <c r="B71" t="s">
        <v>412</v>
      </c>
      <c r="C71" t="s">
        <v>1314</v>
      </c>
    </row>
    <row r="72" spans="1:3" hidden="1" x14ac:dyDescent="0.35">
      <c r="A72" s="25" t="s">
        <v>413</v>
      </c>
      <c r="B72" t="s">
        <v>412</v>
      </c>
      <c r="C72" t="s">
        <v>1314</v>
      </c>
    </row>
    <row r="73" spans="1:3" hidden="1" x14ac:dyDescent="0.35">
      <c r="A73" s="25" t="s">
        <v>409</v>
      </c>
      <c r="B73" t="s">
        <v>408</v>
      </c>
      <c r="C73" t="s">
        <v>1314</v>
      </c>
    </row>
    <row r="74" spans="1:3" hidden="1" x14ac:dyDescent="0.35">
      <c r="A74" s="25" t="s">
        <v>407</v>
      </c>
      <c r="B74" t="s">
        <v>406</v>
      </c>
      <c r="C74" t="s">
        <v>1314</v>
      </c>
    </row>
    <row r="75" spans="1:3" hidden="1" x14ac:dyDescent="0.35">
      <c r="A75" s="25" t="s">
        <v>368</v>
      </c>
      <c r="B75" t="s">
        <v>367</v>
      </c>
      <c r="C75" t="s">
        <v>1314</v>
      </c>
    </row>
    <row r="76" spans="1:3" hidden="1" x14ac:dyDescent="0.35">
      <c r="A76" s="25" t="s">
        <v>346</v>
      </c>
      <c r="B76" t="s">
        <v>345</v>
      </c>
      <c r="C76" t="s">
        <v>1314</v>
      </c>
    </row>
    <row r="77" spans="1:3" hidden="1" x14ac:dyDescent="0.35">
      <c r="A77" s="25" t="s">
        <v>314</v>
      </c>
      <c r="B77" t="s">
        <v>313</v>
      </c>
      <c r="C77" t="s">
        <v>1314</v>
      </c>
    </row>
    <row r="78" spans="1:3" hidden="1" x14ac:dyDescent="0.35">
      <c r="A78" s="25" t="s">
        <v>295</v>
      </c>
      <c r="B78" t="s">
        <v>292</v>
      </c>
      <c r="C78" t="s">
        <v>1314</v>
      </c>
    </row>
    <row r="79" spans="1:3" hidden="1" x14ac:dyDescent="0.35">
      <c r="A79" s="25" t="s">
        <v>236</v>
      </c>
      <c r="B79" t="s">
        <v>234</v>
      </c>
      <c r="C79" t="s">
        <v>1314</v>
      </c>
    </row>
    <row r="80" spans="1:3" hidden="1" x14ac:dyDescent="0.35">
      <c r="A80" s="25" t="s">
        <v>235</v>
      </c>
      <c r="B80" t="s">
        <v>234</v>
      </c>
      <c r="C80" t="s">
        <v>1314</v>
      </c>
    </row>
    <row r="81" spans="1:3" hidden="1" x14ac:dyDescent="0.35">
      <c r="A81" s="25" t="s">
        <v>212</v>
      </c>
      <c r="B81" t="s">
        <v>211</v>
      </c>
      <c r="C81" t="s">
        <v>1314</v>
      </c>
    </row>
    <row r="82" spans="1:3" hidden="1" x14ac:dyDescent="0.35">
      <c r="A82" s="25" t="s">
        <v>193</v>
      </c>
      <c r="B82" t="s">
        <v>192</v>
      </c>
      <c r="C82" t="s">
        <v>1314</v>
      </c>
    </row>
    <row r="83" spans="1:3" hidden="1" x14ac:dyDescent="0.35">
      <c r="A83" s="25" t="s">
        <v>148</v>
      </c>
      <c r="B83" t="s">
        <v>146</v>
      </c>
      <c r="C83" t="s">
        <v>1314</v>
      </c>
    </row>
    <row r="84" spans="1:3" hidden="1" x14ac:dyDescent="0.35">
      <c r="A84" s="25" t="s">
        <v>141</v>
      </c>
      <c r="B84" t="s">
        <v>140</v>
      </c>
      <c r="C84" t="s">
        <v>1314</v>
      </c>
    </row>
    <row r="85" spans="1:3" hidden="1" x14ac:dyDescent="0.35">
      <c r="A85" s="25" t="s">
        <v>124</v>
      </c>
      <c r="B85" t="s">
        <v>123</v>
      </c>
      <c r="C85" t="s">
        <v>1314</v>
      </c>
    </row>
    <row r="86" spans="1:3" hidden="1" x14ac:dyDescent="0.35">
      <c r="A86" s="25" t="s">
        <v>118</v>
      </c>
      <c r="B86" t="s">
        <v>115</v>
      </c>
      <c r="C86" t="s">
        <v>1314</v>
      </c>
    </row>
    <row r="87" spans="1:3" hidden="1" x14ac:dyDescent="0.35">
      <c r="A87" s="25" t="s">
        <v>117</v>
      </c>
      <c r="B87" t="s">
        <v>115</v>
      </c>
      <c r="C87" t="s">
        <v>1314</v>
      </c>
    </row>
    <row r="88" spans="1:3" hidden="1" x14ac:dyDescent="0.35">
      <c r="A88" s="25" t="s">
        <v>116</v>
      </c>
      <c r="B88" t="s">
        <v>115</v>
      </c>
      <c r="C88" t="s">
        <v>1314</v>
      </c>
    </row>
    <row r="89" spans="1:3" hidden="1" x14ac:dyDescent="0.35">
      <c r="A89" s="25" t="s">
        <v>114</v>
      </c>
      <c r="B89" t="s">
        <v>113</v>
      </c>
      <c r="C89" t="s">
        <v>1314</v>
      </c>
    </row>
    <row r="90" spans="1:3" hidden="1" x14ac:dyDescent="0.35">
      <c r="A90" s="25" t="s">
        <v>98</v>
      </c>
      <c r="B90" t="s">
        <v>97</v>
      </c>
      <c r="C90" t="s">
        <v>1314</v>
      </c>
    </row>
    <row r="91" spans="1:3" hidden="1" x14ac:dyDescent="0.35">
      <c r="A91" s="25" t="s">
        <v>82</v>
      </c>
      <c r="B91" t="s">
        <v>81</v>
      </c>
      <c r="C91" t="s">
        <v>1314</v>
      </c>
    </row>
    <row r="92" spans="1:3" hidden="1" x14ac:dyDescent="0.35">
      <c r="A92" s="25" t="s">
        <v>73</v>
      </c>
      <c r="B92" t="s">
        <v>72</v>
      </c>
      <c r="C92" t="s">
        <v>1314</v>
      </c>
    </row>
    <row r="93" spans="1:3" hidden="1" x14ac:dyDescent="0.35">
      <c r="A93" s="25" t="s">
        <v>67</v>
      </c>
      <c r="B93" t="s">
        <v>66</v>
      </c>
      <c r="C93" t="s">
        <v>1314</v>
      </c>
    </row>
    <row r="94" spans="1:3" hidden="1" x14ac:dyDescent="0.35">
      <c r="A94" s="25" t="s">
        <v>63</v>
      </c>
      <c r="B94" t="s">
        <v>62</v>
      </c>
      <c r="C94" t="s">
        <v>1314</v>
      </c>
    </row>
    <row r="95" spans="1:3" hidden="1" x14ac:dyDescent="0.35">
      <c r="A95" s="25" t="s">
        <v>1254</v>
      </c>
      <c r="B95" t="s">
        <v>841</v>
      </c>
      <c r="C95" t="s">
        <v>1315</v>
      </c>
    </row>
    <row r="96" spans="1:3" hidden="1" x14ac:dyDescent="0.35">
      <c r="A96" s="25" t="s">
        <v>1243</v>
      </c>
      <c r="B96" t="s">
        <v>1242</v>
      </c>
      <c r="C96" t="s">
        <v>1315</v>
      </c>
    </row>
    <row r="97" spans="1:3" hidden="1" x14ac:dyDescent="0.35">
      <c r="A97" s="25" t="s">
        <v>1239</v>
      </c>
      <c r="B97" t="s">
        <v>1238</v>
      </c>
      <c r="C97" t="s">
        <v>1315</v>
      </c>
    </row>
    <row r="98" spans="1:3" hidden="1" x14ac:dyDescent="0.35">
      <c r="A98" s="25" t="s">
        <v>1237</v>
      </c>
      <c r="B98" t="s">
        <v>1236</v>
      </c>
      <c r="C98" t="s">
        <v>1315</v>
      </c>
    </row>
    <row r="99" spans="1:3" hidden="1" x14ac:dyDescent="0.35">
      <c r="A99" s="25" t="s">
        <v>1235</v>
      </c>
      <c r="B99" t="s">
        <v>1234</v>
      </c>
      <c r="C99" t="s">
        <v>1315</v>
      </c>
    </row>
    <row r="100" spans="1:3" hidden="1" x14ac:dyDescent="0.35">
      <c r="A100" s="25" t="s">
        <v>1233</v>
      </c>
      <c r="B100" t="s">
        <v>1232</v>
      </c>
      <c r="C100" t="s">
        <v>1315</v>
      </c>
    </row>
    <row r="101" spans="1:3" hidden="1" x14ac:dyDescent="0.35">
      <c r="A101" s="25" t="s">
        <v>1209</v>
      </c>
      <c r="B101" t="s">
        <v>1208</v>
      </c>
      <c r="C101" t="s">
        <v>1315</v>
      </c>
    </row>
    <row r="102" spans="1:3" hidden="1" x14ac:dyDescent="0.35">
      <c r="A102" s="25" t="s">
        <v>1186</v>
      </c>
      <c r="B102" t="s">
        <v>1185</v>
      </c>
      <c r="C102" t="s">
        <v>1315</v>
      </c>
    </row>
    <row r="103" spans="1:3" hidden="1" x14ac:dyDescent="0.35">
      <c r="A103" s="25" t="s">
        <v>1182</v>
      </c>
      <c r="B103" t="s">
        <v>1046</v>
      </c>
      <c r="C103" t="s">
        <v>1315</v>
      </c>
    </row>
    <row r="104" spans="1:3" hidden="1" x14ac:dyDescent="0.35">
      <c r="A104" s="25" t="s">
        <v>1176</v>
      </c>
      <c r="B104" t="s">
        <v>1175</v>
      </c>
      <c r="C104" t="s">
        <v>1315</v>
      </c>
    </row>
    <row r="105" spans="1:3" hidden="1" x14ac:dyDescent="0.35">
      <c r="A105" s="25" t="s">
        <v>1174</v>
      </c>
      <c r="B105" t="s">
        <v>1173</v>
      </c>
      <c r="C105" t="s">
        <v>1315</v>
      </c>
    </row>
    <row r="106" spans="1:3" hidden="1" x14ac:dyDescent="0.35">
      <c r="A106" s="25" t="s">
        <v>1170</v>
      </c>
      <c r="B106" t="s">
        <v>1169</v>
      </c>
      <c r="C106" t="s">
        <v>1315</v>
      </c>
    </row>
    <row r="107" spans="1:3" hidden="1" x14ac:dyDescent="0.35">
      <c r="A107" s="25" t="s">
        <v>1166</v>
      </c>
      <c r="B107" t="s">
        <v>1165</v>
      </c>
      <c r="C107" t="s">
        <v>1315</v>
      </c>
    </row>
    <row r="108" spans="1:3" hidden="1" x14ac:dyDescent="0.35">
      <c r="A108" s="25" t="s">
        <v>1164</v>
      </c>
      <c r="B108" t="s">
        <v>1163</v>
      </c>
      <c r="C108" t="s">
        <v>1315</v>
      </c>
    </row>
    <row r="109" spans="1:3" hidden="1" x14ac:dyDescent="0.35">
      <c r="A109" s="25" t="s">
        <v>1162</v>
      </c>
      <c r="B109" t="s">
        <v>1046</v>
      </c>
      <c r="C109" t="s">
        <v>1315</v>
      </c>
    </row>
    <row r="110" spans="1:3" hidden="1" x14ac:dyDescent="0.35">
      <c r="A110" s="25" t="s">
        <v>1161</v>
      </c>
      <c r="B110" t="s">
        <v>1160</v>
      </c>
      <c r="C110" t="s">
        <v>1315</v>
      </c>
    </row>
    <row r="111" spans="1:3" hidden="1" x14ac:dyDescent="0.35">
      <c r="A111" s="25" t="s">
        <v>1159</v>
      </c>
      <c r="B111" t="s">
        <v>1158</v>
      </c>
      <c r="C111" t="s">
        <v>1315</v>
      </c>
    </row>
    <row r="112" spans="1:3" hidden="1" x14ac:dyDescent="0.35">
      <c r="A112" s="25" t="s">
        <v>1157</v>
      </c>
      <c r="B112" t="s">
        <v>1156</v>
      </c>
      <c r="C112" t="s">
        <v>1315</v>
      </c>
    </row>
    <row r="113" spans="1:3" hidden="1" x14ac:dyDescent="0.35">
      <c r="A113" s="25" t="s">
        <v>1155</v>
      </c>
      <c r="B113" t="s">
        <v>1046</v>
      </c>
      <c r="C113" t="s">
        <v>1315</v>
      </c>
    </row>
    <row r="114" spans="1:3" hidden="1" x14ac:dyDescent="0.35">
      <c r="A114" s="25" t="s">
        <v>1154</v>
      </c>
      <c r="B114" t="s">
        <v>1153</v>
      </c>
      <c r="C114" t="s">
        <v>1315</v>
      </c>
    </row>
    <row r="115" spans="1:3" hidden="1" x14ac:dyDescent="0.35">
      <c r="A115" s="25" t="s">
        <v>1152</v>
      </c>
      <c r="B115" t="s">
        <v>1046</v>
      </c>
      <c r="C115" t="s">
        <v>1315</v>
      </c>
    </row>
    <row r="116" spans="1:3" hidden="1" x14ac:dyDescent="0.35">
      <c r="A116" s="25" t="s">
        <v>1151</v>
      </c>
      <c r="B116" t="s">
        <v>1150</v>
      </c>
      <c r="C116" t="s">
        <v>1315</v>
      </c>
    </row>
    <row r="117" spans="1:3" hidden="1" x14ac:dyDescent="0.35">
      <c r="A117" s="25" t="s">
        <v>1149</v>
      </c>
      <c r="B117" t="s">
        <v>1148</v>
      </c>
      <c r="C117" t="s">
        <v>1315</v>
      </c>
    </row>
    <row r="118" spans="1:3" hidden="1" x14ac:dyDescent="0.35">
      <c r="A118" s="25" t="s">
        <v>1147</v>
      </c>
      <c r="B118" t="s">
        <v>1146</v>
      </c>
      <c r="C118" t="s">
        <v>1315</v>
      </c>
    </row>
    <row r="119" spans="1:3" hidden="1" x14ac:dyDescent="0.35">
      <c r="A119" s="25" t="s">
        <v>1145</v>
      </c>
      <c r="B119" t="s">
        <v>1144</v>
      </c>
      <c r="C119" t="s">
        <v>1315</v>
      </c>
    </row>
    <row r="120" spans="1:3" hidden="1" x14ac:dyDescent="0.35">
      <c r="A120" s="25" t="s">
        <v>1143</v>
      </c>
      <c r="B120" t="s">
        <v>1142</v>
      </c>
      <c r="C120" t="s">
        <v>1315</v>
      </c>
    </row>
    <row r="121" spans="1:3" hidden="1" x14ac:dyDescent="0.35">
      <c r="A121" s="25" t="s">
        <v>1141</v>
      </c>
      <c r="B121" t="s">
        <v>1140</v>
      </c>
      <c r="C121" t="s">
        <v>1315</v>
      </c>
    </row>
    <row r="122" spans="1:3" hidden="1" x14ac:dyDescent="0.35">
      <c r="A122" s="25" t="s">
        <v>1139</v>
      </c>
      <c r="B122" t="s">
        <v>1138</v>
      </c>
      <c r="C122" t="s">
        <v>1315</v>
      </c>
    </row>
    <row r="123" spans="1:3" hidden="1" x14ac:dyDescent="0.35">
      <c r="A123" s="25" t="s">
        <v>1126</v>
      </c>
      <c r="B123" t="s">
        <v>1125</v>
      </c>
      <c r="C123" t="s">
        <v>1315</v>
      </c>
    </row>
    <row r="124" spans="1:3" hidden="1" x14ac:dyDescent="0.35">
      <c r="A124" s="25" t="s">
        <v>1096</v>
      </c>
      <c r="B124" t="s">
        <v>1095</v>
      </c>
      <c r="C124" t="s">
        <v>1315</v>
      </c>
    </row>
    <row r="125" spans="1:3" hidden="1" x14ac:dyDescent="0.35">
      <c r="A125" s="25" t="s">
        <v>1094</v>
      </c>
      <c r="B125" t="s">
        <v>1093</v>
      </c>
      <c r="C125" t="s">
        <v>1315</v>
      </c>
    </row>
    <row r="126" spans="1:3" hidden="1" x14ac:dyDescent="0.35">
      <c r="A126" s="25" t="s">
        <v>1090</v>
      </c>
      <c r="B126" t="s">
        <v>1046</v>
      </c>
      <c r="C126" t="s">
        <v>1315</v>
      </c>
    </row>
    <row r="127" spans="1:3" hidden="1" x14ac:dyDescent="0.35">
      <c r="A127" s="25" t="s">
        <v>1089</v>
      </c>
      <c r="B127" t="s">
        <v>1046</v>
      </c>
      <c r="C127" t="s">
        <v>1315</v>
      </c>
    </row>
    <row r="128" spans="1:3" hidden="1" x14ac:dyDescent="0.35">
      <c r="A128" s="25" t="s">
        <v>1088</v>
      </c>
      <c r="B128" t="s">
        <v>1046</v>
      </c>
      <c r="C128" t="s">
        <v>1315</v>
      </c>
    </row>
    <row r="129" spans="1:3" hidden="1" x14ac:dyDescent="0.35">
      <c r="A129" s="25" t="s">
        <v>1087</v>
      </c>
      <c r="B129" t="s">
        <v>1046</v>
      </c>
      <c r="C129" t="s">
        <v>1315</v>
      </c>
    </row>
    <row r="130" spans="1:3" hidden="1" x14ac:dyDescent="0.35">
      <c r="A130" s="25" t="s">
        <v>1086</v>
      </c>
      <c r="B130" t="s">
        <v>1046</v>
      </c>
      <c r="C130" t="s">
        <v>1315</v>
      </c>
    </row>
    <row r="131" spans="1:3" hidden="1" x14ac:dyDescent="0.35">
      <c r="A131" s="25" t="s">
        <v>1085</v>
      </c>
      <c r="B131" t="s">
        <v>1046</v>
      </c>
      <c r="C131" t="s">
        <v>1315</v>
      </c>
    </row>
    <row r="132" spans="1:3" hidden="1" x14ac:dyDescent="0.35">
      <c r="A132" s="25" t="s">
        <v>1084</v>
      </c>
      <c r="B132" t="s">
        <v>1083</v>
      </c>
      <c r="C132" t="s">
        <v>1315</v>
      </c>
    </row>
    <row r="133" spans="1:3" hidden="1" x14ac:dyDescent="0.35">
      <c r="A133" s="25" t="s">
        <v>1082</v>
      </c>
      <c r="B133" t="s">
        <v>1081</v>
      </c>
      <c r="C133" t="s">
        <v>1315</v>
      </c>
    </row>
    <row r="134" spans="1:3" hidden="1" x14ac:dyDescent="0.35">
      <c r="A134" s="25" t="s">
        <v>1080</v>
      </c>
      <c r="B134" t="s">
        <v>1079</v>
      </c>
      <c r="C134" t="s">
        <v>1315</v>
      </c>
    </row>
    <row r="135" spans="1:3" hidden="1" x14ac:dyDescent="0.35">
      <c r="A135" s="25" t="s">
        <v>1078</v>
      </c>
      <c r="B135" t="s">
        <v>1077</v>
      </c>
      <c r="C135" t="s">
        <v>1315</v>
      </c>
    </row>
    <row r="136" spans="1:3" hidden="1" x14ac:dyDescent="0.35">
      <c r="A136" s="25" t="s">
        <v>1076</v>
      </c>
      <c r="B136" t="s">
        <v>1075</v>
      </c>
      <c r="C136" t="s">
        <v>1315</v>
      </c>
    </row>
    <row r="137" spans="1:3" hidden="1" x14ac:dyDescent="0.35">
      <c r="A137" s="25" t="s">
        <v>1074</v>
      </c>
      <c r="B137" t="s">
        <v>1073</v>
      </c>
      <c r="C137" t="s">
        <v>1315</v>
      </c>
    </row>
    <row r="138" spans="1:3" hidden="1" x14ac:dyDescent="0.35">
      <c r="A138" s="25" t="s">
        <v>1072</v>
      </c>
      <c r="B138" t="s">
        <v>1071</v>
      </c>
      <c r="C138" t="s">
        <v>1315</v>
      </c>
    </row>
    <row r="139" spans="1:3" hidden="1" x14ac:dyDescent="0.35">
      <c r="A139" s="25" t="s">
        <v>1070</v>
      </c>
      <c r="B139" t="s">
        <v>1068</v>
      </c>
      <c r="C139" t="s">
        <v>1315</v>
      </c>
    </row>
    <row r="140" spans="1:3" hidden="1" x14ac:dyDescent="0.35">
      <c r="A140" s="25" t="s">
        <v>1069</v>
      </c>
      <c r="B140" t="s">
        <v>1068</v>
      </c>
      <c r="C140" t="s">
        <v>1315</v>
      </c>
    </row>
    <row r="141" spans="1:3" hidden="1" x14ac:dyDescent="0.35">
      <c r="A141" s="25" t="s">
        <v>1067</v>
      </c>
      <c r="B141" t="s">
        <v>1066</v>
      </c>
      <c r="C141" t="s">
        <v>1315</v>
      </c>
    </row>
    <row r="142" spans="1:3" hidden="1" x14ac:dyDescent="0.35">
      <c r="A142" s="25" t="s">
        <v>1065</v>
      </c>
      <c r="B142" t="s">
        <v>1064</v>
      </c>
      <c r="C142" t="s">
        <v>1315</v>
      </c>
    </row>
    <row r="143" spans="1:3" hidden="1" x14ac:dyDescent="0.35">
      <c r="A143" s="25" t="s">
        <v>1063</v>
      </c>
      <c r="B143" t="s">
        <v>1060</v>
      </c>
      <c r="C143" t="s">
        <v>1315</v>
      </c>
    </row>
    <row r="144" spans="1:3" hidden="1" x14ac:dyDescent="0.35">
      <c r="A144" s="25" t="s">
        <v>1062</v>
      </c>
      <c r="B144" t="s">
        <v>1060</v>
      </c>
      <c r="C144" t="s">
        <v>1315</v>
      </c>
    </row>
    <row r="145" spans="1:3" hidden="1" x14ac:dyDescent="0.35">
      <c r="A145" s="25" t="s">
        <v>1061</v>
      </c>
      <c r="B145" t="s">
        <v>1060</v>
      </c>
      <c r="C145" t="s">
        <v>1315</v>
      </c>
    </row>
    <row r="146" spans="1:3" hidden="1" x14ac:dyDescent="0.35">
      <c r="A146" s="25" t="s">
        <v>1059</v>
      </c>
      <c r="B146" t="s">
        <v>1058</v>
      </c>
      <c r="C146" t="s">
        <v>1315</v>
      </c>
    </row>
    <row r="147" spans="1:3" hidden="1" x14ac:dyDescent="0.35">
      <c r="A147" s="25" t="s">
        <v>1057</v>
      </c>
      <c r="B147" t="s">
        <v>1056</v>
      </c>
      <c r="C147" t="s">
        <v>1315</v>
      </c>
    </row>
    <row r="148" spans="1:3" hidden="1" x14ac:dyDescent="0.35">
      <c r="A148" s="25" t="s">
        <v>1055</v>
      </c>
      <c r="B148" t="s">
        <v>1054</v>
      </c>
      <c r="C148" t="s">
        <v>1315</v>
      </c>
    </row>
    <row r="149" spans="1:3" hidden="1" x14ac:dyDescent="0.35">
      <c r="A149" s="25" t="s">
        <v>1053</v>
      </c>
      <c r="B149" t="s">
        <v>1052</v>
      </c>
      <c r="C149" t="s">
        <v>1315</v>
      </c>
    </row>
    <row r="150" spans="1:3" hidden="1" x14ac:dyDescent="0.35">
      <c r="A150" s="25" t="s">
        <v>1047</v>
      </c>
      <c r="B150" t="s">
        <v>1046</v>
      </c>
      <c r="C150" t="s">
        <v>1315</v>
      </c>
    </row>
    <row r="151" spans="1:3" hidden="1" x14ac:dyDescent="0.35">
      <c r="A151" s="25" t="s">
        <v>1045</v>
      </c>
      <c r="B151" t="s">
        <v>1043</v>
      </c>
      <c r="C151" t="s">
        <v>1315</v>
      </c>
    </row>
    <row r="152" spans="1:3" hidden="1" x14ac:dyDescent="0.35">
      <c r="A152" s="25" t="s">
        <v>1044</v>
      </c>
      <c r="B152" t="s">
        <v>1043</v>
      </c>
      <c r="C152" t="s">
        <v>1315</v>
      </c>
    </row>
    <row r="153" spans="1:3" hidden="1" x14ac:dyDescent="0.35">
      <c r="A153" s="25" t="s">
        <v>1040</v>
      </c>
      <c r="B153" t="s">
        <v>1039</v>
      </c>
      <c r="C153" t="s">
        <v>1315</v>
      </c>
    </row>
    <row r="154" spans="1:3" hidden="1" x14ac:dyDescent="0.35">
      <c r="A154" s="25" t="s">
        <v>1038</v>
      </c>
      <c r="B154" t="s">
        <v>1037</v>
      </c>
      <c r="C154" t="s">
        <v>1315</v>
      </c>
    </row>
    <row r="155" spans="1:3" hidden="1" x14ac:dyDescent="0.35">
      <c r="A155" s="25" t="s">
        <v>1032</v>
      </c>
      <c r="B155" t="s">
        <v>1031</v>
      </c>
      <c r="C155" t="s">
        <v>1315</v>
      </c>
    </row>
    <row r="156" spans="1:3" hidden="1" x14ac:dyDescent="0.35">
      <c r="A156" s="25" t="s">
        <v>1028</v>
      </c>
      <c r="B156" t="s">
        <v>1027</v>
      </c>
      <c r="C156" t="s">
        <v>1315</v>
      </c>
    </row>
    <row r="157" spans="1:3" hidden="1" x14ac:dyDescent="0.35">
      <c r="A157" s="25" t="s">
        <v>1026</v>
      </c>
      <c r="B157" t="s">
        <v>1023</v>
      </c>
      <c r="C157" t="s">
        <v>1315</v>
      </c>
    </row>
    <row r="158" spans="1:3" hidden="1" x14ac:dyDescent="0.35">
      <c r="A158" s="25" t="s">
        <v>1025</v>
      </c>
      <c r="B158" t="s">
        <v>1023</v>
      </c>
      <c r="C158" t="s">
        <v>1315</v>
      </c>
    </row>
    <row r="159" spans="1:3" hidden="1" x14ac:dyDescent="0.35">
      <c r="A159" s="25" t="s">
        <v>1024</v>
      </c>
      <c r="B159" t="s">
        <v>1023</v>
      </c>
      <c r="C159" t="s">
        <v>1315</v>
      </c>
    </row>
    <row r="160" spans="1:3" hidden="1" x14ac:dyDescent="0.35">
      <c r="A160" s="25" t="s">
        <v>1022</v>
      </c>
      <c r="B160" t="s">
        <v>1021</v>
      </c>
      <c r="C160" t="s">
        <v>1315</v>
      </c>
    </row>
    <row r="161" spans="1:3" hidden="1" x14ac:dyDescent="0.35">
      <c r="A161" s="25" t="s">
        <v>1020</v>
      </c>
      <c r="B161" t="s">
        <v>792</v>
      </c>
      <c r="C161" t="s">
        <v>1315</v>
      </c>
    </row>
    <row r="162" spans="1:3" hidden="1" x14ac:dyDescent="0.35">
      <c r="A162" s="25" t="s">
        <v>1013</v>
      </c>
      <c r="B162" t="s">
        <v>1012</v>
      </c>
      <c r="C162" t="s">
        <v>1315</v>
      </c>
    </row>
    <row r="163" spans="1:3" hidden="1" x14ac:dyDescent="0.35">
      <c r="A163" s="25" t="s">
        <v>1007</v>
      </c>
      <c r="B163" t="s">
        <v>1006</v>
      </c>
      <c r="C163" t="s">
        <v>1315</v>
      </c>
    </row>
    <row r="164" spans="1:3" hidden="1" x14ac:dyDescent="0.35">
      <c r="A164" s="25" t="s">
        <v>1005</v>
      </c>
      <c r="B164" t="s">
        <v>1004</v>
      </c>
      <c r="C164" t="s">
        <v>1315</v>
      </c>
    </row>
    <row r="165" spans="1:3" hidden="1" x14ac:dyDescent="0.35">
      <c r="A165" s="25" t="s">
        <v>995</v>
      </c>
      <c r="B165" t="s">
        <v>994</v>
      </c>
      <c r="C165" t="s">
        <v>1315</v>
      </c>
    </row>
    <row r="166" spans="1:3" hidden="1" x14ac:dyDescent="0.35">
      <c r="A166" s="25" t="s">
        <v>981</v>
      </c>
      <c r="B166" t="s">
        <v>980</v>
      </c>
      <c r="C166" t="s">
        <v>1315</v>
      </c>
    </row>
    <row r="167" spans="1:3" hidden="1" x14ac:dyDescent="0.35">
      <c r="A167" s="25" t="s">
        <v>959</v>
      </c>
      <c r="B167" t="s">
        <v>958</v>
      </c>
      <c r="C167" t="s">
        <v>1315</v>
      </c>
    </row>
    <row r="168" spans="1:3" hidden="1" x14ac:dyDescent="0.35">
      <c r="A168" s="25" t="s">
        <v>957</v>
      </c>
      <c r="B168" t="s">
        <v>908</v>
      </c>
      <c r="C168" t="s">
        <v>1315</v>
      </c>
    </row>
    <row r="169" spans="1:3" hidden="1" x14ac:dyDescent="0.35">
      <c r="A169" s="25" t="s">
        <v>956</v>
      </c>
      <c r="B169" t="s">
        <v>953</v>
      </c>
      <c r="C169" t="s">
        <v>1315</v>
      </c>
    </row>
    <row r="170" spans="1:3" hidden="1" x14ac:dyDescent="0.35">
      <c r="A170" s="25" t="s">
        <v>955</v>
      </c>
      <c r="B170" t="s">
        <v>953</v>
      </c>
      <c r="C170" t="s">
        <v>1315</v>
      </c>
    </row>
    <row r="171" spans="1:3" hidden="1" x14ac:dyDescent="0.35">
      <c r="A171" s="25" t="s">
        <v>954</v>
      </c>
      <c r="B171" t="s">
        <v>953</v>
      </c>
      <c r="C171" t="s">
        <v>1315</v>
      </c>
    </row>
    <row r="172" spans="1:3" hidden="1" x14ac:dyDescent="0.35">
      <c r="A172" s="25" t="s">
        <v>952</v>
      </c>
      <c r="B172" t="s">
        <v>939</v>
      </c>
      <c r="C172" t="s">
        <v>1315</v>
      </c>
    </row>
    <row r="173" spans="1:3" hidden="1" x14ac:dyDescent="0.35">
      <c r="A173" s="25" t="s">
        <v>951</v>
      </c>
      <c r="B173" t="s">
        <v>912</v>
      </c>
      <c r="C173" t="s">
        <v>1315</v>
      </c>
    </row>
    <row r="174" spans="1:3" hidden="1" x14ac:dyDescent="0.35">
      <c r="A174" s="25" t="s">
        <v>950</v>
      </c>
      <c r="B174" t="s">
        <v>939</v>
      </c>
      <c r="C174" t="s">
        <v>1315</v>
      </c>
    </row>
    <row r="175" spans="1:3" hidden="1" x14ac:dyDescent="0.35">
      <c r="A175" s="25" t="s">
        <v>949</v>
      </c>
      <c r="B175" t="s">
        <v>948</v>
      </c>
      <c r="C175" t="s">
        <v>1315</v>
      </c>
    </row>
    <row r="176" spans="1:3" hidden="1" x14ac:dyDescent="0.35">
      <c r="A176" s="25" t="s">
        <v>947</v>
      </c>
      <c r="B176" t="s">
        <v>939</v>
      </c>
      <c r="C176" t="s">
        <v>1315</v>
      </c>
    </row>
    <row r="177" spans="1:3" hidden="1" x14ac:dyDescent="0.35">
      <c r="A177" s="25" t="s">
        <v>946</v>
      </c>
      <c r="B177" t="s">
        <v>939</v>
      </c>
      <c r="C177" t="s">
        <v>1315</v>
      </c>
    </row>
    <row r="178" spans="1:3" hidden="1" x14ac:dyDescent="0.35">
      <c r="A178" s="25" t="s">
        <v>945</v>
      </c>
      <c r="B178" t="s">
        <v>939</v>
      </c>
      <c r="C178" t="s">
        <v>1315</v>
      </c>
    </row>
    <row r="179" spans="1:3" hidden="1" x14ac:dyDescent="0.35">
      <c r="A179" s="25" t="s">
        <v>944</v>
      </c>
      <c r="B179" t="s">
        <v>943</v>
      </c>
      <c r="C179" t="s">
        <v>1315</v>
      </c>
    </row>
    <row r="180" spans="1:3" hidden="1" x14ac:dyDescent="0.35">
      <c r="A180" s="25" t="s">
        <v>942</v>
      </c>
      <c r="B180" t="s">
        <v>939</v>
      </c>
      <c r="C180" t="s">
        <v>1315</v>
      </c>
    </row>
    <row r="181" spans="1:3" hidden="1" x14ac:dyDescent="0.35">
      <c r="A181" s="25" t="s">
        <v>941</v>
      </c>
      <c r="B181" t="s">
        <v>939</v>
      </c>
      <c r="C181" t="s">
        <v>1315</v>
      </c>
    </row>
    <row r="182" spans="1:3" hidden="1" x14ac:dyDescent="0.35">
      <c r="A182" s="25" t="s">
        <v>940</v>
      </c>
      <c r="B182" t="s">
        <v>939</v>
      </c>
      <c r="C182" t="s">
        <v>1315</v>
      </c>
    </row>
    <row r="183" spans="1:3" hidden="1" x14ac:dyDescent="0.35">
      <c r="A183" s="25" t="s">
        <v>938</v>
      </c>
      <c r="B183" t="s">
        <v>937</v>
      </c>
      <c r="C183" t="s">
        <v>1315</v>
      </c>
    </row>
    <row r="184" spans="1:3" hidden="1" x14ac:dyDescent="0.35">
      <c r="A184" s="25" t="s">
        <v>936</v>
      </c>
      <c r="B184" t="s">
        <v>934</v>
      </c>
      <c r="C184" t="s">
        <v>1315</v>
      </c>
    </row>
    <row r="185" spans="1:3" hidden="1" x14ac:dyDescent="0.35">
      <c r="A185" s="25" t="s">
        <v>935</v>
      </c>
      <c r="B185" t="s">
        <v>934</v>
      </c>
      <c r="C185" t="s">
        <v>1315</v>
      </c>
    </row>
    <row r="186" spans="1:3" hidden="1" x14ac:dyDescent="0.35">
      <c r="A186" s="25" t="s">
        <v>933</v>
      </c>
      <c r="B186" t="s">
        <v>932</v>
      </c>
      <c r="C186" t="s">
        <v>1315</v>
      </c>
    </row>
    <row r="187" spans="1:3" hidden="1" x14ac:dyDescent="0.35">
      <c r="A187" s="25" t="s">
        <v>931</v>
      </c>
      <c r="B187" t="s">
        <v>930</v>
      </c>
      <c r="C187" t="s">
        <v>1315</v>
      </c>
    </row>
    <row r="188" spans="1:3" hidden="1" x14ac:dyDescent="0.35">
      <c r="A188" s="25" t="s">
        <v>929</v>
      </c>
      <c r="B188" t="s">
        <v>920</v>
      </c>
      <c r="C188" t="s">
        <v>1315</v>
      </c>
    </row>
    <row r="189" spans="1:3" hidden="1" x14ac:dyDescent="0.35">
      <c r="A189" s="25" t="s">
        <v>928</v>
      </c>
      <c r="B189" t="s">
        <v>927</v>
      </c>
      <c r="C189" t="s">
        <v>1315</v>
      </c>
    </row>
    <row r="190" spans="1:3" hidden="1" x14ac:dyDescent="0.35">
      <c r="A190" s="25" t="s">
        <v>919</v>
      </c>
      <c r="B190" t="s">
        <v>918</v>
      </c>
      <c r="C190" t="s">
        <v>1315</v>
      </c>
    </row>
    <row r="191" spans="1:3" hidden="1" x14ac:dyDescent="0.35">
      <c r="A191" s="25" t="s">
        <v>917</v>
      </c>
      <c r="B191" t="s">
        <v>916</v>
      </c>
      <c r="C191" t="s">
        <v>1315</v>
      </c>
    </row>
    <row r="192" spans="1:3" hidden="1" x14ac:dyDescent="0.35">
      <c r="A192" s="25" t="s">
        <v>915</v>
      </c>
      <c r="B192" t="s">
        <v>912</v>
      </c>
      <c r="C192" t="s">
        <v>1315</v>
      </c>
    </row>
    <row r="193" spans="1:3" hidden="1" x14ac:dyDescent="0.35">
      <c r="A193" s="25" t="s">
        <v>914</v>
      </c>
      <c r="B193" t="s">
        <v>912</v>
      </c>
      <c r="C193" t="s">
        <v>1315</v>
      </c>
    </row>
    <row r="194" spans="1:3" hidden="1" x14ac:dyDescent="0.35">
      <c r="A194" s="25" t="s">
        <v>913</v>
      </c>
      <c r="B194" t="s">
        <v>912</v>
      </c>
      <c r="C194" t="s">
        <v>1315</v>
      </c>
    </row>
    <row r="195" spans="1:3" hidden="1" x14ac:dyDescent="0.35">
      <c r="A195" s="25" t="s">
        <v>911</v>
      </c>
      <c r="B195" t="s">
        <v>908</v>
      </c>
      <c r="C195" t="s">
        <v>1315</v>
      </c>
    </row>
    <row r="196" spans="1:3" hidden="1" x14ac:dyDescent="0.35">
      <c r="A196" s="25" t="s">
        <v>910</v>
      </c>
      <c r="B196" t="s">
        <v>908</v>
      </c>
      <c r="C196" t="s">
        <v>1315</v>
      </c>
    </row>
    <row r="197" spans="1:3" hidden="1" x14ac:dyDescent="0.35">
      <c r="A197" s="25" t="s">
        <v>909</v>
      </c>
      <c r="B197" t="s">
        <v>908</v>
      </c>
      <c r="C197" t="s">
        <v>1315</v>
      </c>
    </row>
    <row r="198" spans="1:3" hidden="1" x14ac:dyDescent="0.35">
      <c r="A198" s="25" t="s">
        <v>907</v>
      </c>
      <c r="B198" t="s">
        <v>906</v>
      </c>
      <c r="C198" t="s">
        <v>1315</v>
      </c>
    </row>
    <row r="199" spans="1:3" hidden="1" x14ac:dyDescent="0.35">
      <c r="A199" s="25" t="s">
        <v>899</v>
      </c>
      <c r="B199" t="s">
        <v>897</v>
      </c>
      <c r="C199" t="s">
        <v>1315</v>
      </c>
    </row>
    <row r="200" spans="1:3" hidden="1" x14ac:dyDescent="0.35">
      <c r="A200" s="25" t="s">
        <v>898</v>
      </c>
      <c r="B200" t="s">
        <v>897</v>
      </c>
      <c r="C200" t="s">
        <v>1315</v>
      </c>
    </row>
    <row r="201" spans="1:3" hidden="1" x14ac:dyDescent="0.35">
      <c r="A201" s="25" t="s">
        <v>896</v>
      </c>
      <c r="B201" t="s">
        <v>895</v>
      </c>
      <c r="C201" t="s">
        <v>1315</v>
      </c>
    </row>
    <row r="202" spans="1:3" hidden="1" x14ac:dyDescent="0.35">
      <c r="A202" s="25" t="s">
        <v>890</v>
      </c>
      <c r="B202" t="s">
        <v>889</v>
      </c>
      <c r="C202" t="s">
        <v>1315</v>
      </c>
    </row>
    <row r="203" spans="1:3" hidden="1" x14ac:dyDescent="0.35">
      <c r="A203" s="25" t="s">
        <v>886</v>
      </c>
      <c r="B203" t="s">
        <v>885</v>
      </c>
      <c r="C203" t="s">
        <v>1315</v>
      </c>
    </row>
    <row r="204" spans="1:3" hidden="1" x14ac:dyDescent="0.35">
      <c r="A204" s="25" t="s">
        <v>884</v>
      </c>
      <c r="B204" t="s">
        <v>883</v>
      </c>
      <c r="C204" t="s">
        <v>1315</v>
      </c>
    </row>
    <row r="205" spans="1:3" hidden="1" x14ac:dyDescent="0.35">
      <c r="A205" s="25" t="s">
        <v>882</v>
      </c>
      <c r="B205" t="s">
        <v>881</v>
      </c>
      <c r="C205" t="s">
        <v>1315</v>
      </c>
    </row>
    <row r="206" spans="1:3" hidden="1" x14ac:dyDescent="0.35">
      <c r="A206" s="25" t="s">
        <v>876</v>
      </c>
      <c r="B206" t="s">
        <v>875</v>
      </c>
      <c r="C206" t="s">
        <v>1315</v>
      </c>
    </row>
    <row r="207" spans="1:3" hidden="1" x14ac:dyDescent="0.35">
      <c r="A207" s="25" t="s">
        <v>874</v>
      </c>
      <c r="B207" t="s">
        <v>873</v>
      </c>
      <c r="C207" t="s">
        <v>1315</v>
      </c>
    </row>
    <row r="208" spans="1:3" hidden="1" x14ac:dyDescent="0.35">
      <c r="A208" s="25" t="s">
        <v>872</v>
      </c>
      <c r="B208" t="s">
        <v>871</v>
      </c>
      <c r="C208" t="s">
        <v>1315</v>
      </c>
    </row>
    <row r="209" spans="1:3" hidden="1" x14ac:dyDescent="0.35">
      <c r="A209" s="25" t="s">
        <v>868</v>
      </c>
      <c r="B209" t="s">
        <v>867</v>
      </c>
      <c r="C209" t="s">
        <v>1315</v>
      </c>
    </row>
    <row r="210" spans="1:3" hidden="1" x14ac:dyDescent="0.35">
      <c r="A210" s="25" t="s">
        <v>860</v>
      </c>
      <c r="B210" t="s">
        <v>857</v>
      </c>
      <c r="C210" t="s">
        <v>1315</v>
      </c>
    </row>
    <row r="211" spans="1:3" hidden="1" x14ac:dyDescent="0.35">
      <c r="A211" s="25" t="s">
        <v>859</v>
      </c>
      <c r="B211" t="s">
        <v>857</v>
      </c>
      <c r="C211" t="s">
        <v>1315</v>
      </c>
    </row>
    <row r="212" spans="1:3" hidden="1" x14ac:dyDescent="0.35">
      <c r="A212" s="25" t="s">
        <v>858</v>
      </c>
      <c r="B212" t="s">
        <v>857</v>
      </c>
      <c r="C212" t="s">
        <v>1315</v>
      </c>
    </row>
    <row r="213" spans="1:3" hidden="1" x14ac:dyDescent="0.35">
      <c r="A213" s="25" t="s">
        <v>856</v>
      </c>
      <c r="B213" t="s">
        <v>855</v>
      </c>
      <c r="C213" t="s">
        <v>1315</v>
      </c>
    </row>
    <row r="214" spans="1:3" hidden="1" x14ac:dyDescent="0.35">
      <c r="A214" s="25" t="s">
        <v>854</v>
      </c>
      <c r="B214" t="s">
        <v>853</v>
      </c>
      <c r="C214" t="s">
        <v>1315</v>
      </c>
    </row>
    <row r="215" spans="1:3" hidden="1" x14ac:dyDescent="0.35">
      <c r="A215" s="25" t="s">
        <v>844</v>
      </c>
      <c r="B215" t="s">
        <v>841</v>
      </c>
      <c r="C215" t="s">
        <v>1315</v>
      </c>
    </row>
    <row r="216" spans="1:3" hidden="1" x14ac:dyDescent="0.35">
      <c r="A216" s="25" t="s">
        <v>843</v>
      </c>
      <c r="B216" t="s">
        <v>841</v>
      </c>
      <c r="C216" t="s">
        <v>1315</v>
      </c>
    </row>
    <row r="217" spans="1:3" hidden="1" x14ac:dyDescent="0.35">
      <c r="A217" s="25" t="s">
        <v>842</v>
      </c>
      <c r="B217" t="s">
        <v>841</v>
      </c>
      <c r="C217" t="s">
        <v>1315</v>
      </c>
    </row>
    <row r="218" spans="1:3" hidden="1" x14ac:dyDescent="0.35">
      <c r="A218" s="25" t="s">
        <v>834</v>
      </c>
      <c r="B218" t="s">
        <v>833</v>
      </c>
      <c r="C218" t="s">
        <v>1315</v>
      </c>
    </row>
    <row r="219" spans="1:3" hidden="1" x14ac:dyDescent="0.35">
      <c r="A219" s="25" t="s">
        <v>816</v>
      </c>
      <c r="B219" t="s">
        <v>815</v>
      </c>
      <c r="C219" t="s">
        <v>1315</v>
      </c>
    </row>
    <row r="220" spans="1:3" hidden="1" x14ac:dyDescent="0.35">
      <c r="A220" s="25" t="s">
        <v>806</v>
      </c>
      <c r="B220" t="s">
        <v>805</v>
      </c>
      <c r="C220" t="s">
        <v>1315</v>
      </c>
    </row>
    <row r="221" spans="1:3" hidden="1" x14ac:dyDescent="0.35">
      <c r="A221" s="25" t="s">
        <v>804</v>
      </c>
      <c r="B221" t="s">
        <v>803</v>
      </c>
      <c r="C221" t="s">
        <v>1315</v>
      </c>
    </row>
    <row r="222" spans="1:3" hidden="1" x14ac:dyDescent="0.35">
      <c r="A222" s="25" t="s">
        <v>798</v>
      </c>
      <c r="B222" t="s">
        <v>785</v>
      </c>
      <c r="C222" t="s">
        <v>1315</v>
      </c>
    </row>
    <row r="223" spans="1:3" hidden="1" x14ac:dyDescent="0.35">
      <c r="A223" s="25" t="s">
        <v>793</v>
      </c>
      <c r="B223" t="s">
        <v>792</v>
      </c>
      <c r="C223" t="s">
        <v>1315</v>
      </c>
    </row>
    <row r="224" spans="1:3" hidden="1" x14ac:dyDescent="0.35">
      <c r="A224" s="25" t="s">
        <v>787</v>
      </c>
      <c r="B224" t="s">
        <v>785</v>
      </c>
      <c r="C224" t="s">
        <v>1315</v>
      </c>
    </row>
    <row r="225" spans="1:3" hidden="1" x14ac:dyDescent="0.35">
      <c r="A225" s="25" t="s">
        <v>786</v>
      </c>
      <c r="B225" t="s">
        <v>785</v>
      </c>
      <c r="C225" t="s">
        <v>1315</v>
      </c>
    </row>
    <row r="226" spans="1:3" hidden="1" x14ac:dyDescent="0.35">
      <c r="A226" s="25" t="s">
        <v>784</v>
      </c>
      <c r="B226" t="s">
        <v>783</v>
      </c>
      <c r="C226" t="s">
        <v>1315</v>
      </c>
    </row>
    <row r="227" spans="1:3" hidden="1" x14ac:dyDescent="0.35">
      <c r="A227" s="25" t="s">
        <v>766</v>
      </c>
      <c r="B227" t="s">
        <v>765</v>
      </c>
      <c r="C227" t="s">
        <v>1315</v>
      </c>
    </row>
    <row r="228" spans="1:3" hidden="1" x14ac:dyDescent="0.35">
      <c r="A228" s="25" t="s">
        <v>754</v>
      </c>
      <c r="B228" t="s">
        <v>753</v>
      </c>
      <c r="C228" t="s">
        <v>1315</v>
      </c>
    </row>
    <row r="229" spans="1:3" hidden="1" x14ac:dyDescent="0.35">
      <c r="A229" s="25" t="s">
        <v>721</v>
      </c>
      <c r="B229" t="s">
        <v>720</v>
      </c>
      <c r="C229" t="s">
        <v>1315</v>
      </c>
    </row>
    <row r="230" spans="1:3" hidden="1" x14ac:dyDescent="0.35">
      <c r="A230" s="25" t="s">
        <v>695</v>
      </c>
      <c r="B230" t="s">
        <v>694</v>
      </c>
      <c r="C230" t="s">
        <v>1315</v>
      </c>
    </row>
    <row r="231" spans="1:3" hidden="1" x14ac:dyDescent="0.35">
      <c r="A231" s="25" t="s">
        <v>693</v>
      </c>
      <c r="B231" t="s">
        <v>692</v>
      </c>
      <c r="C231" t="s">
        <v>1315</v>
      </c>
    </row>
    <row r="232" spans="1:3" hidden="1" x14ac:dyDescent="0.35">
      <c r="A232" s="25" t="s">
        <v>684</v>
      </c>
      <c r="B232" t="s">
        <v>683</v>
      </c>
      <c r="C232" t="s">
        <v>1315</v>
      </c>
    </row>
    <row r="233" spans="1:3" hidden="1" x14ac:dyDescent="0.35">
      <c r="A233" s="25" t="s">
        <v>682</v>
      </c>
      <c r="B233" t="s">
        <v>681</v>
      </c>
      <c r="C233" t="s">
        <v>1315</v>
      </c>
    </row>
    <row r="234" spans="1:3" hidden="1" x14ac:dyDescent="0.35">
      <c r="A234" s="25" t="s">
        <v>579</v>
      </c>
      <c r="B234" t="s">
        <v>578</v>
      </c>
      <c r="C234" t="s">
        <v>1315</v>
      </c>
    </row>
    <row r="235" spans="1:3" hidden="1" x14ac:dyDescent="0.35">
      <c r="A235" s="25" t="s">
        <v>505</v>
      </c>
      <c r="B235" t="s">
        <v>504</v>
      </c>
      <c r="C235" t="s">
        <v>1315</v>
      </c>
    </row>
    <row r="236" spans="1:3" hidden="1" x14ac:dyDescent="0.35">
      <c r="A236" s="25" t="s">
        <v>501</v>
      </c>
      <c r="B236" t="s">
        <v>500</v>
      </c>
      <c r="C236" t="s">
        <v>1315</v>
      </c>
    </row>
    <row r="237" spans="1:3" hidden="1" x14ac:dyDescent="0.35">
      <c r="A237" s="25" t="s">
        <v>457</v>
      </c>
      <c r="B237" t="s">
        <v>455</v>
      </c>
      <c r="C237" t="s">
        <v>1315</v>
      </c>
    </row>
    <row r="238" spans="1:3" hidden="1" x14ac:dyDescent="0.35">
      <c r="A238" s="25" t="s">
        <v>456</v>
      </c>
      <c r="B238" t="s">
        <v>455</v>
      </c>
      <c r="C238" t="s">
        <v>1315</v>
      </c>
    </row>
    <row r="239" spans="1:3" hidden="1" x14ac:dyDescent="0.35">
      <c r="A239" s="25" t="s">
        <v>452</v>
      </c>
      <c r="B239" t="s">
        <v>451</v>
      </c>
      <c r="C239" t="s">
        <v>1315</v>
      </c>
    </row>
    <row r="240" spans="1:3" hidden="1" x14ac:dyDescent="0.35">
      <c r="A240" s="25" t="s">
        <v>382</v>
      </c>
      <c r="B240" t="s">
        <v>381</v>
      </c>
      <c r="C240" t="s">
        <v>1315</v>
      </c>
    </row>
    <row r="241" spans="1:3" hidden="1" x14ac:dyDescent="0.35">
      <c r="A241" s="25" t="s">
        <v>377</v>
      </c>
      <c r="B241" t="s">
        <v>376</v>
      </c>
      <c r="C241" t="s">
        <v>1315</v>
      </c>
    </row>
    <row r="242" spans="1:3" hidden="1" x14ac:dyDescent="0.35">
      <c r="A242" s="25" t="s">
        <v>147</v>
      </c>
      <c r="B242" t="s">
        <v>146</v>
      </c>
      <c r="C242" t="s">
        <v>1315</v>
      </c>
    </row>
    <row r="243" spans="1:3" hidden="1" x14ac:dyDescent="0.35">
      <c r="A243" s="25" t="s">
        <v>102</v>
      </c>
      <c r="B243" t="s">
        <v>99</v>
      </c>
      <c r="C243" t="s">
        <v>1315</v>
      </c>
    </row>
    <row r="244" spans="1:3" hidden="1" x14ac:dyDescent="0.35">
      <c r="A244" s="25" t="s">
        <v>101</v>
      </c>
      <c r="B244" t="s">
        <v>99</v>
      </c>
      <c r="C244" t="s">
        <v>1315</v>
      </c>
    </row>
    <row r="245" spans="1:3" hidden="1" x14ac:dyDescent="0.35">
      <c r="A245" s="25" t="s">
        <v>100</v>
      </c>
      <c r="B245" t="s">
        <v>99</v>
      </c>
      <c r="C245" t="s">
        <v>1315</v>
      </c>
    </row>
    <row r="246" spans="1:3" x14ac:dyDescent="0.35">
      <c r="A246" s="25" t="s">
        <v>329</v>
      </c>
      <c r="B246" t="s">
        <v>328</v>
      </c>
      <c r="C246" t="s">
        <v>1364</v>
      </c>
    </row>
    <row r="247" spans="1:3" x14ac:dyDescent="0.35">
      <c r="A247" s="25" t="s">
        <v>1229</v>
      </c>
      <c r="B247" t="s">
        <v>1231</v>
      </c>
      <c r="C247" t="s">
        <v>1340</v>
      </c>
    </row>
    <row r="248" spans="1:3" x14ac:dyDescent="0.35">
      <c r="A248" s="25" t="s">
        <v>1200</v>
      </c>
      <c r="B248" t="s">
        <v>1199</v>
      </c>
      <c r="C248" t="s">
        <v>1340</v>
      </c>
    </row>
    <row r="249" spans="1:3" x14ac:dyDescent="0.35">
      <c r="A249" s="25" t="s">
        <v>1019</v>
      </c>
      <c r="B249" t="s">
        <v>1018</v>
      </c>
      <c r="C249" t="s">
        <v>1340</v>
      </c>
    </row>
    <row r="250" spans="1:3" x14ac:dyDescent="0.35">
      <c r="A250" s="25" t="s">
        <v>1009</v>
      </c>
      <c r="B250" t="s">
        <v>1008</v>
      </c>
      <c r="C250" t="s">
        <v>1340</v>
      </c>
    </row>
    <row r="251" spans="1:3" x14ac:dyDescent="0.35">
      <c r="A251" s="25" t="s">
        <v>993</v>
      </c>
      <c r="B251" t="s">
        <v>992</v>
      </c>
      <c r="C251" t="s">
        <v>1340</v>
      </c>
    </row>
    <row r="252" spans="1:3" x14ac:dyDescent="0.35">
      <c r="A252" s="25" t="s">
        <v>748</v>
      </c>
      <c r="B252" t="s">
        <v>747</v>
      </c>
      <c r="C252" t="s">
        <v>1340</v>
      </c>
    </row>
    <row r="253" spans="1:3" x14ac:dyDescent="0.35">
      <c r="A253" s="25" t="s">
        <v>743</v>
      </c>
      <c r="B253" t="s">
        <v>744</v>
      </c>
      <c r="C253" t="s">
        <v>1340</v>
      </c>
    </row>
    <row r="254" spans="1:3" x14ac:dyDescent="0.35">
      <c r="A254" s="25" t="s">
        <v>7</v>
      </c>
      <c r="B254" t="s">
        <v>6</v>
      </c>
      <c r="C254" t="s">
        <v>1340</v>
      </c>
    </row>
    <row r="255" spans="1:3" x14ac:dyDescent="0.35">
      <c r="A255" s="25" t="s">
        <v>1253</v>
      </c>
      <c r="B255" t="s">
        <v>1252</v>
      </c>
      <c r="C255" t="s">
        <v>1356</v>
      </c>
    </row>
    <row r="256" spans="1:3" x14ac:dyDescent="0.35">
      <c r="A256" s="25" t="s">
        <v>764</v>
      </c>
      <c r="B256" t="s">
        <v>763</v>
      </c>
      <c r="C256" t="s">
        <v>1356</v>
      </c>
    </row>
    <row r="257" spans="1:3" x14ac:dyDescent="0.35">
      <c r="A257" s="25" t="s">
        <v>752</v>
      </c>
      <c r="B257" t="s">
        <v>751</v>
      </c>
      <c r="C257" t="s">
        <v>1356</v>
      </c>
    </row>
    <row r="258" spans="1:3" x14ac:dyDescent="0.35">
      <c r="A258" s="25" t="s">
        <v>576</v>
      </c>
      <c r="B258" t="s">
        <v>577</v>
      </c>
      <c r="C258" t="s">
        <v>1356</v>
      </c>
    </row>
    <row r="259" spans="1:3" x14ac:dyDescent="0.35">
      <c r="A259" s="25" t="s">
        <v>1017</v>
      </c>
      <c r="B259" t="s">
        <v>1016</v>
      </c>
      <c r="C259" t="s">
        <v>1341</v>
      </c>
    </row>
    <row r="260" spans="1:3" x14ac:dyDescent="0.35">
      <c r="A260" s="25" t="s">
        <v>774</v>
      </c>
      <c r="B260" t="s">
        <v>773</v>
      </c>
      <c r="C260" t="s">
        <v>1341</v>
      </c>
    </row>
    <row r="261" spans="1:3" x14ac:dyDescent="0.35">
      <c r="A261" s="25" t="s">
        <v>707</v>
      </c>
      <c r="B261" t="s">
        <v>706</v>
      </c>
      <c r="C261" t="s">
        <v>1341</v>
      </c>
    </row>
    <row r="262" spans="1:3" x14ac:dyDescent="0.35">
      <c r="A262" s="25" t="s">
        <v>778</v>
      </c>
      <c r="B262" t="s">
        <v>777</v>
      </c>
      <c r="C262" t="s">
        <v>1346</v>
      </c>
    </row>
    <row r="263" spans="1:3" x14ac:dyDescent="0.35">
      <c r="A263" s="25" t="s">
        <v>746</v>
      </c>
      <c r="B263" t="s">
        <v>745</v>
      </c>
      <c r="C263" t="s">
        <v>1346</v>
      </c>
    </row>
    <row r="264" spans="1:3" x14ac:dyDescent="0.35">
      <c r="A264" s="25" t="s">
        <v>574</v>
      </c>
      <c r="B264" t="s">
        <v>573</v>
      </c>
      <c r="C264" t="s">
        <v>1346</v>
      </c>
    </row>
    <row r="265" spans="1:3" x14ac:dyDescent="0.35">
      <c r="A265" s="25" t="s">
        <v>536</v>
      </c>
      <c r="B265" t="s">
        <v>535</v>
      </c>
      <c r="C265" t="s">
        <v>1346</v>
      </c>
    </row>
    <row r="266" spans="1:3" x14ac:dyDescent="0.35">
      <c r="A266" s="25" t="s">
        <v>493</v>
      </c>
      <c r="B266" t="s">
        <v>492</v>
      </c>
      <c r="C266" t="s">
        <v>1346</v>
      </c>
    </row>
    <row r="267" spans="1:3" x14ac:dyDescent="0.35">
      <c r="A267" s="25" t="s">
        <v>304</v>
      </c>
      <c r="B267" t="s">
        <v>303</v>
      </c>
      <c r="C267" t="s">
        <v>1346</v>
      </c>
    </row>
    <row r="268" spans="1:3" x14ac:dyDescent="0.35">
      <c r="A268" s="25" t="s">
        <v>302</v>
      </c>
      <c r="B268" t="s">
        <v>301</v>
      </c>
      <c r="C268" t="s">
        <v>1346</v>
      </c>
    </row>
    <row r="269" spans="1:3" x14ac:dyDescent="0.35">
      <c r="A269" s="25" t="s">
        <v>291</v>
      </c>
      <c r="B269" t="s">
        <v>290</v>
      </c>
      <c r="C269" t="s">
        <v>1346</v>
      </c>
    </row>
    <row r="270" spans="1:3" x14ac:dyDescent="0.35">
      <c r="A270" s="25" t="s">
        <v>279</v>
      </c>
      <c r="B270" t="s">
        <v>278</v>
      </c>
      <c r="C270" t="s">
        <v>1346</v>
      </c>
    </row>
    <row r="271" spans="1:3" x14ac:dyDescent="0.35">
      <c r="A271" s="25" t="s">
        <v>201</v>
      </c>
      <c r="B271" t="s">
        <v>199</v>
      </c>
      <c r="C271" t="s">
        <v>1346</v>
      </c>
    </row>
    <row r="272" spans="1:3" x14ac:dyDescent="0.35">
      <c r="A272" s="25" t="s">
        <v>171</v>
      </c>
      <c r="B272" t="s">
        <v>170</v>
      </c>
      <c r="C272" t="s">
        <v>1346</v>
      </c>
    </row>
    <row r="273" spans="1:3" x14ac:dyDescent="0.35">
      <c r="A273" s="25" t="s">
        <v>169</v>
      </c>
      <c r="B273" t="s">
        <v>168</v>
      </c>
      <c r="C273" t="s">
        <v>1346</v>
      </c>
    </row>
    <row r="274" spans="1:3" x14ac:dyDescent="0.35">
      <c r="A274" s="25" t="s">
        <v>164</v>
      </c>
      <c r="B274" t="s">
        <v>163</v>
      </c>
      <c r="C274" t="s">
        <v>1346</v>
      </c>
    </row>
    <row r="275" spans="1:3" x14ac:dyDescent="0.35">
      <c r="A275" s="25" t="s">
        <v>1098</v>
      </c>
      <c r="B275" t="s">
        <v>1099</v>
      </c>
      <c r="C275" t="s">
        <v>1339</v>
      </c>
    </row>
    <row r="276" spans="1:3" x14ac:dyDescent="0.35">
      <c r="A276" s="25" t="s">
        <v>814</v>
      </c>
      <c r="B276" t="s">
        <v>813</v>
      </c>
      <c r="C276" t="s">
        <v>1339</v>
      </c>
    </row>
    <row r="277" spans="1:3" x14ac:dyDescent="0.35">
      <c r="A277" s="25" t="s">
        <v>808</v>
      </c>
      <c r="B277" t="s">
        <v>807</v>
      </c>
      <c r="C277" t="s">
        <v>1339</v>
      </c>
    </row>
    <row r="278" spans="1:3" x14ac:dyDescent="0.35">
      <c r="A278" s="25" t="s">
        <v>733</v>
      </c>
      <c r="B278" t="s">
        <v>732</v>
      </c>
      <c r="C278" t="s">
        <v>1339</v>
      </c>
    </row>
    <row r="279" spans="1:3" x14ac:dyDescent="0.35">
      <c r="A279" s="25" t="s">
        <v>719</v>
      </c>
      <c r="B279" t="s">
        <v>718</v>
      </c>
      <c r="C279" t="s">
        <v>1339</v>
      </c>
    </row>
    <row r="280" spans="1:3" x14ac:dyDescent="0.35">
      <c r="A280" s="25" t="s">
        <v>717</v>
      </c>
      <c r="B280" t="s">
        <v>716</v>
      </c>
      <c r="C280" t="s">
        <v>1339</v>
      </c>
    </row>
    <row r="281" spans="1:3" x14ac:dyDescent="0.35">
      <c r="A281" s="25" t="s">
        <v>384</v>
      </c>
      <c r="B281" t="s">
        <v>383</v>
      </c>
      <c r="C281" t="s">
        <v>1339</v>
      </c>
    </row>
    <row r="282" spans="1:3" x14ac:dyDescent="0.35">
      <c r="A282" s="25" t="s">
        <v>344</v>
      </c>
      <c r="B282" t="s">
        <v>343</v>
      </c>
      <c r="C282" t="s">
        <v>1339</v>
      </c>
    </row>
    <row r="283" spans="1:3" x14ac:dyDescent="0.35">
      <c r="A283" s="25" t="s">
        <v>342</v>
      </c>
      <c r="B283" t="s">
        <v>341</v>
      </c>
      <c r="C283" t="s">
        <v>1339</v>
      </c>
    </row>
    <row r="284" spans="1:3" x14ac:dyDescent="0.35">
      <c r="A284" s="25" t="s">
        <v>340</v>
      </c>
      <c r="B284" t="s">
        <v>339</v>
      </c>
      <c r="C284" t="s">
        <v>1339</v>
      </c>
    </row>
    <row r="285" spans="1:3" x14ac:dyDescent="0.35">
      <c r="A285" s="25" t="s">
        <v>323</v>
      </c>
      <c r="B285" t="s">
        <v>322</v>
      </c>
      <c r="C285" t="s">
        <v>1339</v>
      </c>
    </row>
    <row r="286" spans="1:3" x14ac:dyDescent="0.35">
      <c r="A286" s="25" t="s">
        <v>277</v>
      </c>
      <c r="B286" t="s">
        <v>276</v>
      </c>
      <c r="C286" t="s">
        <v>1339</v>
      </c>
    </row>
    <row r="287" spans="1:3" x14ac:dyDescent="0.35">
      <c r="A287" s="25" t="s">
        <v>253</v>
      </c>
      <c r="B287" t="s">
        <v>252</v>
      </c>
      <c r="C287" t="s">
        <v>1339</v>
      </c>
    </row>
    <row r="288" spans="1:3" x14ac:dyDescent="0.35">
      <c r="A288" s="25" t="s">
        <v>158</v>
      </c>
      <c r="B288" t="s">
        <v>157</v>
      </c>
      <c r="C288" t="s">
        <v>1339</v>
      </c>
    </row>
    <row r="289" spans="1:3" x14ac:dyDescent="0.35">
      <c r="A289" s="25" t="s">
        <v>156</v>
      </c>
      <c r="B289" t="s">
        <v>155</v>
      </c>
      <c r="C289" t="s">
        <v>1339</v>
      </c>
    </row>
    <row r="290" spans="1:3" x14ac:dyDescent="0.35">
      <c r="A290" s="25" t="s">
        <v>1247</v>
      </c>
      <c r="B290" t="s">
        <v>1246</v>
      </c>
      <c r="C290" t="s">
        <v>1338</v>
      </c>
    </row>
    <row r="291" spans="1:3" x14ac:dyDescent="0.35">
      <c r="A291" s="25" t="s">
        <v>1245</v>
      </c>
      <c r="B291" t="s">
        <v>1244</v>
      </c>
      <c r="C291" t="s">
        <v>1338</v>
      </c>
    </row>
    <row r="292" spans="1:3" x14ac:dyDescent="0.35">
      <c r="A292" s="25" t="s">
        <v>1137</v>
      </c>
      <c r="B292" t="s">
        <v>1136</v>
      </c>
      <c r="C292" t="s">
        <v>1338</v>
      </c>
    </row>
    <row r="293" spans="1:3" x14ac:dyDescent="0.35">
      <c r="A293" s="25" t="s">
        <v>878</v>
      </c>
      <c r="B293" t="s">
        <v>877</v>
      </c>
      <c r="C293" t="s">
        <v>1338</v>
      </c>
    </row>
    <row r="294" spans="1:3" x14ac:dyDescent="0.35">
      <c r="A294" s="25" t="s">
        <v>725</v>
      </c>
      <c r="B294" t="s">
        <v>724</v>
      </c>
      <c r="C294" t="s">
        <v>1338</v>
      </c>
    </row>
    <row r="295" spans="1:3" x14ac:dyDescent="0.35">
      <c r="A295" s="25" t="s">
        <v>713</v>
      </c>
      <c r="B295" t="s">
        <v>712</v>
      </c>
      <c r="C295" t="s">
        <v>1338</v>
      </c>
    </row>
    <row r="296" spans="1:3" x14ac:dyDescent="0.35">
      <c r="A296" s="25" t="s">
        <v>654</v>
      </c>
      <c r="B296" t="s">
        <v>653</v>
      </c>
      <c r="C296" t="s">
        <v>1338</v>
      </c>
    </row>
    <row r="297" spans="1:3" x14ac:dyDescent="0.35">
      <c r="A297" s="25" t="s">
        <v>634</v>
      </c>
      <c r="B297" t="s">
        <v>633</v>
      </c>
      <c r="C297" t="s">
        <v>1338</v>
      </c>
    </row>
    <row r="298" spans="1:3" x14ac:dyDescent="0.35">
      <c r="A298" s="25" t="s">
        <v>632</v>
      </c>
      <c r="B298" t="s">
        <v>631</v>
      </c>
      <c r="C298" t="s">
        <v>1338</v>
      </c>
    </row>
    <row r="299" spans="1:3" x14ac:dyDescent="0.35">
      <c r="A299" s="25" t="s">
        <v>331</v>
      </c>
      <c r="B299" t="s">
        <v>330</v>
      </c>
      <c r="C299" t="s">
        <v>1338</v>
      </c>
    </row>
    <row r="300" spans="1:3" x14ac:dyDescent="0.35">
      <c r="A300" s="25" t="s">
        <v>257</v>
      </c>
      <c r="B300" t="s">
        <v>256</v>
      </c>
      <c r="C300" t="s">
        <v>1338</v>
      </c>
    </row>
    <row r="301" spans="1:3" x14ac:dyDescent="0.35">
      <c r="A301" s="25" t="s">
        <v>238</v>
      </c>
      <c r="B301" t="s">
        <v>237</v>
      </c>
      <c r="C301" t="s">
        <v>1338</v>
      </c>
    </row>
    <row r="302" spans="1:3" x14ac:dyDescent="0.35">
      <c r="A302" s="25" t="s">
        <v>175</v>
      </c>
      <c r="B302" t="s">
        <v>174</v>
      </c>
      <c r="C302" t="s">
        <v>1338</v>
      </c>
    </row>
    <row r="303" spans="1:3" x14ac:dyDescent="0.35">
      <c r="A303" s="25" t="s">
        <v>162</v>
      </c>
      <c r="B303" t="s">
        <v>161</v>
      </c>
      <c r="C303" t="s">
        <v>1338</v>
      </c>
    </row>
    <row r="304" spans="1:3" x14ac:dyDescent="0.35">
      <c r="A304" s="25" t="s">
        <v>399</v>
      </c>
      <c r="B304" t="s">
        <v>396</v>
      </c>
      <c r="C304" t="s">
        <v>1343</v>
      </c>
    </row>
    <row r="305" spans="1:3" hidden="1" x14ac:dyDescent="0.35">
      <c r="A305" s="25" t="s">
        <v>189</v>
      </c>
      <c r="B305" t="s">
        <v>188</v>
      </c>
      <c r="C305" t="s">
        <v>1355</v>
      </c>
    </row>
    <row r="306" spans="1:3" hidden="1" x14ac:dyDescent="0.35">
      <c r="A306" s="25">
        <v>103003</v>
      </c>
      <c r="B306" t="s">
        <v>334</v>
      </c>
      <c r="C306" t="s">
        <v>1342</v>
      </c>
    </row>
    <row r="307" spans="1:3" hidden="1" x14ac:dyDescent="0.35">
      <c r="A307" s="25" t="s">
        <v>737</v>
      </c>
      <c r="B307" t="s">
        <v>736</v>
      </c>
      <c r="C307" t="s">
        <v>1342</v>
      </c>
    </row>
    <row r="308" spans="1:3" hidden="1" x14ac:dyDescent="0.35">
      <c r="A308" s="25" t="s">
        <v>731</v>
      </c>
      <c r="B308" t="s">
        <v>730</v>
      </c>
      <c r="C308" t="s">
        <v>1342</v>
      </c>
    </row>
    <row r="309" spans="1:3" hidden="1" x14ac:dyDescent="0.35">
      <c r="A309" s="25" t="s">
        <v>727</v>
      </c>
      <c r="B309" t="s">
        <v>726</v>
      </c>
      <c r="C309" t="s">
        <v>1342</v>
      </c>
    </row>
    <row r="310" spans="1:3" hidden="1" x14ac:dyDescent="0.35">
      <c r="A310" s="25" t="s">
        <v>723</v>
      </c>
      <c r="B310" t="s">
        <v>722</v>
      </c>
      <c r="C310" t="s">
        <v>1342</v>
      </c>
    </row>
    <row r="311" spans="1:3" hidden="1" x14ac:dyDescent="0.35">
      <c r="A311" s="25" t="s">
        <v>715</v>
      </c>
      <c r="B311" t="s">
        <v>714</v>
      </c>
      <c r="C311" t="s">
        <v>1342</v>
      </c>
    </row>
    <row r="312" spans="1:3" hidden="1" x14ac:dyDescent="0.35">
      <c r="A312" s="25" t="s">
        <v>338</v>
      </c>
      <c r="B312" t="s">
        <v>337</v>
      </c>
      <c r="C312" t="s">
        <v>1342</v>
      </c>
    </row>
    <row r="313" spans="1:3" hidden="1" x14ac:dyDescent="0.35">
      <c r="A313" s="25" t="s">
        <v>191</v>
      </c>
      <c r="B313" t="s">
        <v>190</v>
      </c>
      <c r="C313" t="s">
        <v>1342</v>
      </c>
    </row>
    <row r="314" spans="1:3" hidden="1" x14ac:dyDescent="0.35">
      <c r="A314" s="25" t="s">
        <v>112</v>
      </c>
      <c r="B314" t="s">
        <v>111</v>
      </c>
      <c r="C314" t="s">
        <v>1342</v>
      </c>
    </row>
    <row r="315" spans="1:3" hidden="1" x14ac:dyDescent="0.35">
      <c r="A315" s="25" t="s">
        <v>540</v>
      </c>
      <c r="B315" t="s">
        <v>539</v>
      </c>
      <c r="C315" t="s">
        <v>1363</v>
      </c>
    </row>
    <row r="316" spans="1:3" hidden="1" x14ac:dyDescent="0.35">
      <c r="A316" s="25" t="s">
        <v>385</v>
      </c>
      <c r="B316" t="s">
        <v>360</v>
      </c>
      <c r="C316" t="s">
        <v>1363</v>
      </c>
    </row>
    <row r="317" spans="1:3" hidden="1" x14ac:dyDescent="0.35">
      <c r="A317" s="25" t="s">
        <v>359</v>
      </c>
      <c r="B317" t="s">
        <v>360</v>
      </c>
      <c r="C317" t="s">
        <v>1363</v>
      </c>
    </row>
    <row r="318" spans="1:3" hidden="1" x14ac:dyDescent="0.35">
      <c r="A318" s="25" t="s">
        <v>776</v>
      </c>
      <c r="B318" t="s">
        <v>775</v>
      </c>
      <c r="C318" t="s">
        <v>1351</v>
      </c>
    </row>
    <row r="319" spans="1:3" hidden="1" x14ac:dyDescent="0.35">
      <c r="A319" s="25" t="s">
        <v>185</v>
      </c>
      <c r="B319" t="s">
        <v>184</v>
      </c>
      <c r="C319" t="s">
        <v>1351</v>
      </c>
    </row>
    <row r="320" spans="1:3" hidden="1" x14ac:dyDescent="0.35">
      <c r="A320" s="25" t="s">
        <v>1225</v>
      </c>
      <c r="B320" t="s">
        <v>1224</v>
      </c>
      <c r="C320" t="s">
        <v>1345</v>
      </c>
    </row>
    <row r="321" spans="1:3" hidden="1" x14ac:dyDescent="0.35">
      <c r="A321" s="25" t="s">
        <v>1202</v>
      </c>
      <c r="B321" t="s">
        <v>1201</v>
      </c>
      <c r="C321" t="s">
        <v>1345</v>
      </c>
    </row>
    <row r="322" spans="1:3" hidden="1" x14ac:dyDescent="0.35">
      <c r="A322" s="25" t="s">
        <v>1190</v>
      </c>
      <c r="B322" t="s">
        <v>1189</v>
      </c>
      <c r="C322" t="s">
        <v>1345</v>
      </c>
    </row>
    <row r="323" spans="1:3" hidden="1" x14ac:dyDescent="0.35">
      <c r="A323" s="25" t="s">
        <v>1184</v>
      </c>
      <c r="B323" t="s">
        <v>1183</v>
      </c>
      <c r="C323" t="s">
        <v>1345</v>
      </c>
    </row>
    <row r="324" spans="1:3" hidden="1" x14ac:dyDescent="0.35">
      <c r="A324" s="25" t="s">
        <v>800</v>
      </c>
      <c r="B324" t="s">
        <v>799</v>
      </c>
      <c r="C324" t="s">
        <v>1345</v>
      </c>
    </row>
    <row r="325" spans="1:3" hidden="1" x14ac:dyDescent="0.35">
      <c r="A325" s="25" t="s">
        <v>758</v>
      </c>
      <c r="B325" t="s">
        <v>757</v>
      </c>
      <c r="C325" t="s">
        <v>1345</v>
      </c>
    </row>
    <row r="326" spans="1:3" hidden="1" x14ac:dyDescent="0.35">
      <c r="A326" s="25" t="s">
        <v>735</v>
      </c>
      <c r="B326" t="s">
        <v>734</v>
      </c>
      <c r="C326" t="s">
        <v>1345</v>
      </c>
    </row>
    <row r="327" spans="1:3" hidden="1" x14ac:dyDescent="0.35">
      <c r="A327" s="25" t="s">
        <v>636</v>
      </c>
      <c r="B327" t="s">
        <v>635</v>
      </c>
      <c r="C327" t="s">
        <v>1345</v>
      </c>
    </row>
    <row r="328" spans="1:3" hidden="1" x14ac:dyDescent="0.35">
      <c r="A328" s="25" t="s">
        <v>442</v>
      </c>
      <c r="B328" t="s">
        <v>443</v>
      </c>
      <c r="C328" t="s">
        <v>1345</v>
      </c>
    </row>
    <row r="329" spans="1:3" hidden="1" x14ac:dyDescent="0.35">
      <c r="A329" s="25" t="s">
        <v>439</v>
      </c>
      <c r="B329" t="s">
        <v>440</v>
      </c>
      <c r="C329" t="s">
        <v>1345</v>
      </c>
    </row>
    <row r="330" spans="1:3" hidden="1" x14ac:dyDescent="0.35">
      <c r="A330" s="25" t="s">
        <v>435</v>
      </c>
      <c r="B330" t="s">
        <v>434</v>
      </c>
      <c r="C330" t="s">
        <v>1345</v>
      </c>
    </row>
    <row r="331" spans="1:3" hidden="1" x14ac:dyDescent="0.35">
      <c r="A331" s="25" t="s">
        <v>364</v>
      </c>
      <c r="B331" t="s">
        <v>363</v>
      </c>
      <c r="C331" t="s">
        <v>1345</v>
      </c>
    </row>
    <row r="332" spans="1:3" hidden="1" x14ac:dyDescent="0.35">
      <c r="A332" s="25" t="s">
        <v>210</v>
      </c>
      <c r="B332" t="s">
        <v>209</v>
      </c>
      <c r="C332" t="s">
        <v>1345</v>
      </c>
    </row>
    <row r="333" spans="1:3" hidden="1" x14ac:dyDescent="0.35">
      <c r="A333" s="25" t="s">
        <v>200</v>
      </c>
      <c r="B333" t="s">
        <v>199</v>
      </c>
      <c r="C333" t="s">
        <v>1345</v>
      </c>
    </row>
    <row r="334" spans="1:3" hidden="1" x14ac:dyDescent="0.35">
      <c r="A334" s="25" t="s">
        <v>173</v>
      </c>
      <c r="B334" t="s">
        <v>172</v>
      </c>
      <c r="C334" t="s">
        <v>1345</v>
      </c>
    </row>
    <row r="335" spans="1:3" hidden="1" x14ac:dyDescent="0.35">
      <c r="A335" s="25" t="s">
        <v>557</v>
      </c>
      <c r="B335" t="s">
        <v>556</v>
      </c>
      <c r="C335" t="s">
        <v>1352</v>
      </c>
    </row>
    <row r="336" spans="1:3" hidden="1" x14ac:dyDescent="0.35">
      <c r="A336" s="25" t="s">
        <v>551</v>
      </c>
      <c r="B336" t="s">
        <v>428</v>
      </c>
      <c r="C336" t="s">
        <v>1352</v>
      </c>
    </row>
    <row r="337" spans="1:3" hidden="1" x14ac:dyDescent="0.35">
      <c r="A337" s="25" t="s">
        <v>550</v>
      </c>
      <c r="B337" t="s">
        <v>426</v>
      </c>
      <c r="C337" t="s">
        <v>1352</v>
      </c>
    </row>
    <row r="338" spans="1:3" hidden="1" x14ac:dyDescent="0.35">
      <c r="A338" s="25" t="s">
        <v>549</v>
      </c>
      <c r="B338" t="s">
        <v>424</v>
      </c>
      <c r="C338" t="s">
        <v>1352</v>
      </c>
    </row>
    <row r="339" spans="1:3" hidden="1" x14ac:dyDescent="0.35">
      <c r="A339" s="25" t="s">
        <v>511</v>
      </c>
      <c r="B339" t="s">
        <v>510</v>
      </c>
      <c r="C339" t="s">
        <v>1352</v>
      </c>
    </row>
    <row r="340" spans="1:3" hidden="1" x14ac:dyDescent="0.35">
      <c r="A340" s="25" t="s">
        <v>461</v>
      </c>
      <c r="B340" t="s">
        <v>460</v>
      </c>
      <c r="C340" t="s">
        <v>1352</v>
      </c>
    </row>
    <row r="341" spans="1:3" hidden="1" x14ac:dyDescent="0.35">
      <c r="A341" s="25" t="s">
        <v>459</v>
      </c>
      <c r="B341" t="s">
        <v>458</v>
      </c>
      <c r="C341" t="s">
        <v>1352</v>
      </c>
    </row>
    <row r="342" spans="1:3" hidden="1" x14ac:dyDescent="0.35">
      <c r="A342" s="25" t="s">
        <v>429</v>
      </c>
      <c r="B342" t="s">
        <v>428</v>
      </c>
      <c r="C342" t="s">
        <v>1352</v>
      </c>
    </row>
    <row r="343" spans="1:3" hidden="1" x14ac:dyDescent="0.35">
      <c r="A343" s="25" t="s">
        <v>427</v>
      </c>
      <c r="B343" t="s">
        <v>426</v>
      </c>
      <c r="C343" t="s">
        <v>1352</v>
      </c>
    </row>
    <row r="344" spans="1:3" hidden="1" x14ac:dyDescent="0.35">
      <c r="A344" s="25" t="s">
        <v>425</v>
      </c>
      <c r="B344" t="s">
        <v>424</v>
      </c>
      <c r="C344" t="s">
        <v>1352</v>
      </c>
    </row>
    <row r="345" spans="1:3" hidden="1" x14ac:dyDescent="0.35">
      <c r="A345" s="25" t="s">
        <v>423</v>
      </c>
      <c r="B345" t="s">
        <v>422</v>
      </c>
      <c r="C345" t="s">
        <v>1352</v>
      </c>
    </row>
    <row r="346" spans="1:3" hidden="1" x14ac:dyDescent="0.35">
      <c r="A346" s="25" t="s">
        <v>366</v>
      </c>
      <c r="B346" t="s">
        <v>365</v>
      </c>
      <c r="C346" t="s">
        <v>1352</v>
      </c>
    </row>
    <row r="347" spans="1:3" hidden="1" x14ac:dyDescent="0.35">
      <c r="A347" s="25" t="s">
        <v>272</v>
      </c>
      <c r="B347" t="s">
        <v>270</v>
      </c>
      <c r="C347" t="s">
        <v>1352</v>
      </c>
    </row>
    <row r="348" spans="1:3" hidden="1" x14ac:dyDescent="0.35">
      <c r="A348" s="25" t="s">
        <v>271</v>
      </c>
      <c r="B348" t="s">
        <v>270</v>
      </c>
      <c r="C348" t="s">
        <v>1352</v>
      </c>
    </row>
    <row r="349" spans="1:3" hidden="1" x14ac:dyDescent="0.35">
      <c r="A349" s="25" t="s">
        <v>269</v>
      </c>
      <c r="B349" t="s">
        <v>268</v>
      </c>
      <c r="C349" t="s">
        <v>1352</v>
      </c>
    </row>
    <row r="350" spans="1:3" hidden="1" x14ac:dyDescent="0.35">
      <c r="A350" s="25" t="s">
        <v>267</v>
      </c>
      <c r="B350" t="s">
        <v>266</v>
      </c>
      <c r="C350" t="s">
        <v>1352</v>
      </c>
    </row>
    <row r="351" spans="1:3" hidden="1" x14ac:dyDescent="0.35">
      <c r="A351" s="25" t="s">
        <v>251</v>
      </c>
      <c r="B351" t="s">
        <v>248</v>
      </c>
      <c r="C351" t="s">
        <v>1352</v>
      </c>
    </row>
    <row r="352" spans="1:3" hidden="1" x14ac:dyDescent="0.35">
      <c r="A352" s="25" t="s">
        <v>250</v>
      </c>
      <c r="B352" t="s">
        <v>248</v>
      </c>
      <c r="C352" t="s">
        <v>1352</v>
      </c>
    </row>
    <row r="353" spans="1:3" hidden="1" x14ac:dyDescent="0.35">
      <c r="A353" s="25" t="s">
        <v>249</v>
      </c>
      <c r="B353" t="s">
        <v>248</v>
      </c>
      <c r="C353" t="s">
        <v>1352</v>
      </c>
    </row>
    <row r="354" spans="1:3" hidden="1" x14ac:dyDescent="0.35">
      <c r="A354" s="25" t="s">
        <v>208</v>
      </c>
      <c r="B354" t="s">
        <v>207</v>
      </c>
      <c r="C354" t="s">
        <v>1352</v>
      </c>
    </row>
    <row r="355" spans="1:3" hidden="1" x14ac:dyDescent="0.35">
      <c r="A355" s="25" t="s">
        <v>187</v>
      </c>
      <c r="B355" t="s">
        <v>186</v>
      </c>
      <c r="C355" t="s">
        <v>1352</v>
      </c>
    </row>
    <row r="356" spans="1:3" hidden="1" x14ac:dyDescent="0.35">
      <c r="A356" s="25" t="s">
        <v>167</v>
      </c>
      <c r="B356" t="s">
        <v>166</v>
      </c>
      <c r="C356" t="s">
        <v>1352</v>
      </c>
    </row>
    <row r="357" spans="1:3" hidden="1" x14ac:dyDescent="0.35">
      <c r="A357" s="25" t="s">
        <v>133</v>
      </c>
      <c r="B357" t="s">
        <v>132</v>
      </c>
      <c r="C357" t="s">
        <v>1352</v>
      </c>
    </row>
    <row r="358" spans="1:3" hidden="1" x14ac:dyDescent="0.35">
      <c r="A358" s="25" t="s">
        <v>131</v>
      </c>
      <c r="B358" t="s">
        <v>130</v>
      </c>
      <c r="C358" t="s">
        <v>1352</v>
      </c>
    </row>
    <row r="359" spans="1:3" hidden="1" x14ac:dyDescent="0.35">
      <c r="A359" s="25" t="s">
        <v>122</v>
      </c>
      <c r="B359" t="s">
        <v>121</v>
      </c>
      <c r="C359" t="s">
        <v>1352</v>
      </c>
    </row>
    <row r="360" spans="1:3" hidden="1" x14ac:dyDescent="0.35">
      <c r="A360" s="25" t="s">
        <v>120</v>
      </c>
      <c r="B360" t="s">
        <v>119</v>
      </c>
      <c r="C360" t="s">
        <v>1352</v>
      </c>
    </row>
    <row r="361" spans="1:3" hidden="1" x14ac:dyDescent="0.35">
      <c r="A361" s="25" t="s">
        <v>1251</v>
      </c>
      <c r="B361" t="s">
        <v>1250</v>
      </c>
      <c r="C361" t="s">
        <v>1357</v>
      </c>
    </row>
    <row r="362" spans="1:3" hidden="1" x14ac:dyDescent="0.35">
      <c r="A362" s="25" t="s">
        <v>1109</v>
      </c>
      <c r="B362" t="s">
        <v>1108</v>
      </c>
      <c r="C362" t="s">
        <v>1357</v>
      </c>
    </row>
    <row r="363" spans="1:3" hidden="1" x14ac:dyDescent="0.35">
      <c r="A363" s="25" t="s">
        <v>1105</v>
      </c>
      <c r="B363" t="s">
        <v>1104</v>
      </c>
      <c r="C363" t="s">
        <v>1357</v>
      </c>
    </row>
    <row r="364" spans="1:3" hidden="1" x14ac:dyDescent="0.35">
      <c r="A364" s="25" t="s">
        <v>1101</v>
      </c>
      <c r="B364" t="s">
        <v>1100</v>
      </c>
      <c r="C364" t="s">
        <v>1357</v>
      </c>
    </row>
    <row r="365" spans="1:3" hidden="1" x14ac:dyDescent="0.35">
      <c r="A365" s="25" t="s">
        <v>1049</v>
      </c>
      <c r="B365" t="s">
        <v>1048</v>
      </c>
      <c r="C365" t="s">
        <v>1357</v>
      </c>
    </row>
    <row r="366" spans="1:3" hidden="1" x14ac:dyDescent="0.35">
      <c r="A366" s="25" t="s">
        <v>1030</v>
      </c>
      <c r="B366" t="s">
        <v>1029</v>
      </c>
      <c r="C366" t="s">
        <v>1357</v>
      </c>
    </row>
    <row r="367" spans="1:3" hidden="1" x14ac:dyDescent="0.35">
      <c r="A367" s="25" t="s">
        <v>711</v>
      </c>
      <c r="B367" t="s">
        <v>710</v>
      </c>
      <c r="C367" t="s">
        <v>1357</v>
      </c>
    </row>
    <row r="368" spans="1:3" hidden="1" x14ac:dyDescent="0.35">
      <c r="A368" s="25" t="s">
        <v>709</v>
      </c>
      <c r="B368" t="s">
        <v>708</v>
      </c>
      <c r="C368" t="s">
        <v>1357</v>
      </c>
    </row>
    <row r="369" spans="1:3" hidden="1" x14ac:dyDescent="0.35">
      <c r="A369" s="25" t="s">
        <v>691</v>
      </c>
      <c r="B369" t="s">
        <v>690</v>
      </c>
      <c r="C369" t="s">
        <v>1357</v>
      </c>
    </row>
    <row r="370" spans="1:3" hidden="1" x14ac:dyDescent="0.35">
      <c r="A370" s="25" t="s">
        <v>507</v>
      </c>
      <c r="B370" t="s">
        <v>506</v>
      </c>
      <c r="C370" t="s">
        <v>1357</v>
      </c>
    </row>
    <row r="371" spans="1:3" hidden="1" x14ac:dyDescent="0.35">
      <c r="A371" s="25" t="s">
        <v>463</v>
      </c>
      <c r="B371" t="s">
        <v>464</v>
      </c>
      <c r="C371" t="s">
        <v>1357</v>
      </c>
    </row>
    <row r="372" spans="1:3" hidden="1" x14ac:dyDescent="0.35">
      <c r="A372" s="25" t="s">
        <v>447</v>
      </c>
      <c r="B372" t="s">
        <v>446</v>
      </c>
      <c r="C372" t="s">
        <v>1357</v>
      </c>
    </row>
    <row r="373" spans="1:3" hidden="1" x14ac:dyDescent="0.35">
      <c r="A373" s="25" t="s">
        <v>362</v>
      </c>
      <c r="B373" t="s">
        <v>361</v>
      </c>
      <c r="C373" t="s">
        <v>1357</v>
      </c>
    </row>
    <row r="374" spans="1:3" hidden="1" x14ac:dyDescent="0.35">
      <c r="A374" s="25" t="s">
        <v>317</v>
      </c>
      <c r="B374" t="s">
        <v>315</v>
      </c>
      <c r="C374" t="s">
        <v>1357</v>
      </c>
    </row>
    <row r="375" spans="1:3" hidden="1" x14ac:dyDescent="0.35">
      <c r="A375" s="25" t="s">
        <v>316</v>
      </c>
      <c r="B375" t="s">
        <v>315</v>
      </c>
      <c r="C375" t="s">
        <v>1357</v>
      </c>
    </row>
    <row r="376" spans="1:3" hidden="1" x14ac:dyDescent="0.35">
      <c r="A376" s="25" t="s">
        <v>259</v>
      </c>
      <c r="B376" t="s">
        <v>258</v>
      </c>
      <c r="C376" t="s">
        <v>1357</v>
      </c>
    </row>
    <row r="377" spans="1:3" hidden="1" x14ac:dyDescent="0.35">
      <c r="A377" s="25" t="s">
        <v>225</v>
      </c>
      <c r="B377" t="s">
        <v>226</v>
      </c>
      <c r="C377" t="s">
        <v>1357</v>
      </c>
    </row>
    <row r="378" spans="1:3" hidden="1" x14ac:dyDescent="0.35">
      <c r="A378" s="25" t="s">
        <v>705</v>
      </c>
      <c r="B378" t="s">
        <v>704</v>
      </c>
      <c r="C378" t="s">
        <v>1350</v>
      </c>
    </row>
    <row r="379" spans="1:3" hidden="1" x14ac:dyDescent="0.35">
      <c r="A379" s="25" t="s">
        <v>450</v>
      </c>
      <c r="B379" t="s">
        <v>448</v>
      </c>
      <c r="C379" t="s">
        <v>1350</v>
      </c>
    </row>
    <row r="380" spans="1:3" hidden="1" x14ac:dyDescent="0.35">
      <c r="A380" s="25" t="s">
        <v>449</v>
      </c>
      <c r="B380" t="s">
        <v>448</v>
      </c>
      <c r="C380" t="s">
        <v>1350</v>
      </c>
    </row>
    <row r="381" spans="1:3" hidden="1" x14ac:dyDescent="0.35">
      <c r="A381" s="25" t="s">
        <v>325</v>
      </c>
      <c r="B381" t="s">
        <v>324</v>
      </c>
      <c r="C381" t="s">
        <v>1350</v>
      </c>
    </row>
    <row r="382" spans="1:3" hidden="1" x14ac:dyDescent="0.35">
      <c r="A382" s="25" t="s">
        <v>255</v>
      </c>
      <c r="B382" t="s">
        <v>254</v>
      </c>
      <c r="C382" t="s">
        <v>1350</v>
      </c>
    </row>
    <row r="383" spans="1:3" hidden="1" x14ac:dyDescent="0.35">
      <c r="A383" s="25" t="s">
        <v>110</v>
      </c>
      <c r="B383" t="s">
        <v>109</v>
      </c>
      <c r="C383" t="s">
        <v>1350</v>
      </c>
    </row>
    <row r="384" spans="1:3" hidden="1" x14ac:dyDescent="0.35">
      <c r="A384" s="25" t="s">
        <v>108</v>
      </c>
      <c r="B384" t="s">
        <v>107</v>
      </c>
      <c r="C384" t="s">
        <v>1350</v>
      </c>
    </row>
    <row r="385" spans="1:3" hidden="1" x14ac:dyDescent="0.35">
      <c r="A385" s="25" t="s">
        <v>88</v>
      </c>
      <c r="B385" t="s">
        <v>87</v>
      </c>
      <c r="C385" t="s">
        <v>1350</v>
      </c>
    </row>
    <row r="386" spans="1:3" hidden="1" x14ac:dyDescent="0.35">
      <c r="A386" s="25" t="s">
        <v>350</v>
      </c>
      <c r="B386" t="s">
        <v>349</v>
      </c>
      <c r="C386" t="s">
        <v>1365</v>
      </c>
    </row>
    <row r="387" spans="1:3" hidden="1" x14ac:dyDescent="0.35">
      <c r="A387" s="25" t="s">
        <v>1092</v>
      </c>
      <c r="B387" t="s">
        <v>1091</v>
      </c>
      <c r="C387" t="s">
        <v>1360</v>
      </c>
    </row>
    <row r="388" spans="1:3" hidden="1" x14ac:dyDescent="0.35">
      <c r="A388" s="25" t="s">
        <v>398</v>
      </c>
      <c r="B388" t="s">
        <v>396</v>
      </c>
      <c r="C388" t="s">
        <v>1360</v>
      </c>
    </row>
    <row r="389" spans="1:3" hidden="1" x14ac:dyDescent="0.35">
      <c r="A389" s="25" t="s">
        <v>397</v>
      </c>
      <c r="B389" t="s">
        <v>396</v>
      </c>
      <c r="C389" t="s">
        <v>1360</v>
      </c>
    </row>
    <row r="390" spans="1:3" hidden="1" x14ac:dyDescent="0.35">
      <c r="A390" s="25" t="s">
        <v>1215</v>
      </c>
      <c r="B390" t="s">
        <v>1214</v>
      </c>
      <c r="C390" t="s">
        <v>1348</v>
      </c>
    </row>
    <row r="391" spans="1:3" hidden="1" x14ac:dyDescent="0.35">
      <c r="A391" s="25" t="s">
        <v>1211</v>
      </c>
      <c r="B391" t="s">
        <v>1210</v>
      </c>
      <c r="C391" t="s">
        <v>1348</v>
      </c>
    </row>
    <row r="392" spans="1:3" hidden="1" x14ac:dyDescent="0.35">
      <c r="A392" s="25" t="s">
        <v>1204</v>
      </c>
      <c r="B392" t="s">
        <v>1207</v>
      </c>
      <c r="C392" t="s">
        <v>1348</v>
      </c>
    </row>
    <row r="393" spans="1:3" hidden="1" x14ac:dyDescent="0.35">
      <c r="A393" s="25" t="s">
        <v>1194</v>
      </c>
      <c r="B393" t="s">
        <v>1193</v>
      </c>
      <c r="C393" t="s">
        <v>1348</v>
      </c>
    </row>
    <row r="394" spans="1:3" hidden="1" x14ac:dyDescent="0.35">
      <c r="A394" s="25" t="s">
        <v>1227</v>
      </c>
      <c r="B394" t="s">
        <v>1226</v>
      </c>
      <c r="C394" t="s">
        <v>1347</v>
      </c>
    </row>
    <row r="395" spans="1:3" hidden="1" x14ac:dyDescent="0.35">
      <c r="A395" s="25" t="s">
        <v>1217</v>
      </c>
      <c r="B395" t="s">
        <v>1216</v>
      </c>
      <c r="C395" t="s">
        <v>1347</v>
      </c>
    </row>
    <row r="396" spans="1:3" hidden="1" x14ac:dyDescent="0.35">
      <c r="A396" s="25" t="s">
        <v>1198</v>
      </c>
      <c r="B396" t="s">
        <v>1197</v>
      </c>
      <c r="C396" t="s">
        <v>1347</v>
      </c>
    </row>
    <row r="397" spans="1:3" hidden="1" x14ac:dyDescent="0.35">
      <c r="A397" s="25" t="s">
        <v>1192</v>
      </c>
      <c r="B397" t="s">
        <v>1191</v>
      </c>
      <c r="C397" t="s">
        <v>1347</v>
      </c>
    </row>
    <row r="398" spans="1:3" hidden="1" x14ac:dyDescent="0.35">
      <c r="A398" s="25" t="s">
        <v>1036</v>
      </c>
      <c r="B398" t="s">
        <v>1035</v>
      </c>
      <c r="C398" t="s">
        <v>1347</v>
      </c>
    </row>
    <row r="399" spans="1:3" hidden="1" x14ac:dyDescent="0.35">
      <c r="A399" s="25" t="s">
        <v>1034</v>
      </c>
      <c r="B399" t="s">
        <v>1033</v>
      </c>
      <c r="C399" t="s">
        <v>1347</v>
      </c>
    </row>
    <row r="400" spans="1:3" hidden="1" x14ac:dyDescent="0.35">
      <c r="A400" s="25" t="s">
        <v>780</v>
      </c>
      <c r="B400" t="s">
        <v>779</v>
      </c>
      <c r="C400" t="s">
        <v>1347</v>
      </c>
    </row>
    <row r="401" spans="1:3" hidden="1" x14ac:dyDescent="0.35">
      <c r="A401" s="25" t="s">
        <v>762</v>
      </c>
      <c r="B401" t="s">
        <v>761</v>
      </c>
      <c r="C401" t="s">
        <v>1347</v>
      </c>
    </row>
    <row r="402" spans="1:3" hidden="1" x14ac:dyDescent="0.35">
      <c r="A402" s="25" t="s">
        <v>697</v>
      </c>
      <c r="B402" t="s">
        <v>696</v>
      </c>
      <c r="C402" t="s">
        <v>1347</v>
      </c>
    </row>
    <row r="403" spans="1:3" hidden="1" x14ac:dyDescent="0.35">
      <c r="A403" s="25" t="s">
        <v>688</v>
      </c>
      <c r="B403" t="s">
        <v>689</v>
      </c>
      <c r="C403" t="s">
        <v>1347</v>
      </c>
    </row>
    <row r="404" spans="1:3" hidden="1" x14ac:dyDescent="0.35">
      <c r="A404" s="25" t="s">
        <v>503</v>
      </c>
      <c r="B404" t="s">
        <v>502</v>
      </c>
      <c r="C404" t="s">
        <v>1347</v>
      </c>
    </row>
    <row r="405" spans="1:3" hidden="1" x14ac:dyDescent="0.35">
      <c r="A405" s="25" t="s">
        <v>352</v>
      </c>
      <c r="B405" t="s">
        <v>351</v>
      </c>
      <c r="C405" t="s">
        <v>1347</v>
      </c>
    </row>
    <row r="406" spans="1:3" hidden="1" x14ac:dyDescent="0.35">
      <c r="A406" s="25" t="s">
        <v>306</v>
      </c>
      <c r="B406" t="s">
        <v>305</v>
      </c>
      <c r="C406" t="s">
        <v>1347</v>
      </c>
    </row>
    <row r="407" spans="1:3" hidden="1" x14ac:dyDescent="0.35">
      <c r="A407" s="25" t="s">
        <v>281</v>
      </c>
      <c r="B407" t="s">
        <v>280</v>
      </c>
      <c r="C407" t="s">
        <v>1347</v>
      </c>
    </row>
    <row r="408" spans="1:3" hidden="1" x14ac:dyDescent="0.35">
      <c r="A408" s="25" t="s">
        <v>78</v>
      </c>
      <c r="B408" t="s">
        <v>77</v>
      </c>
      <c r="C408" t="s">
        <v>1347</v>
      </c>
    </row>
    <row r="409" spans="1:3" hidden="1" x14ac:dyDescent="0.35">
      <c r="A409" s="25" t="s">
        <v>997</v>
      </c>
      <c r="B409" t="s">
        <v>996</v>
      </c>
      <c r="C409" t="s">
        <v>1361</v>
      </c>
    </row>
    <row r="410" spans="1:3" hidden="1" x14ac:dyDescent="0.35">
      <c r="A410" s="25" t="s">
        <v>1213</v>
      </c>
      <c r="B410" t="s">
        <v>1212</v>
      </c>
      <c r="C410" t="s">
        <v>1349</v>
      </c>
    </row>
    <row r="411" spans="1:3" hidden="1" x14ac:dyDescent="0.35">
      <c r="A411" s="25" t="s">
        <v>1196</v>
      </c>
      <c r="B411" t="s">
        <v>1195</v>
      </c>
      <c r="C411" t="s">
        <v>1349</v>
      </c>
    </row>
    <row r="412" spans="1:3" hidden="1" x14ac:dyDescent="0.35">
      <c r="A412" s="25" t="s">
        <v>1188</v>
      </c>
      <c r="B412" t="s">
        <v>1187</v>
      </c>
      <c r="C412" t="s">
        <v>1349</v>
      </c>
    </row>
    <row r="413" spans="1:3" hidden="1" x14ac:dyDescent="0.35">
      <c r="A413" s="25" t="s">
        <v>989</v>
      </c>
      <c r="B413" t="s">
        <v>988</v>
      </c>
      <c r="C413" t="s">
        <v>1349</v>
      </c>
    </row>
    <row r="414" spans="1:3" hidden="1" x14ac:dyDescent="0.35">
      <c r="A414" s="25" t="s">
        <v>1103</v>
      </c>
      <c r="B414" t="s">
        <v>1102</v>
      </c>
      <c r="C414" t="s">
        <v>1354</v>
      </c>
    </row>
    <row r="415" spans="1:3" hidden="1" x14ac:dyDescent="0.35">
      <c r="A415" s="25" t="s">
        <v>223</v>
      </c>
      <c r="B415" t="s">
        <v>222</v>
      </c>
      <c r="C415" t="s">
        <v>1354</v>
      </c>
    </row>
    <row r="416" spans="1:3" hidden="1" x14ac:dyDescent="0.35">
      <c r="A416" s="25" t="s">
        <v>183</v>
      </c>
      <c r="B416" t="s">
        <v>182</v>
      </c>
      <c r="C416" t="s">
        <v>1354</v>
      </c>
    </row>
    <row r="417" spans="1:3" hidden="1" x14ac:dyDescent="0.35">
      <c r="A417" s="25" t="s">
        <v>137</v>
      </c>
      <c r="B417" t="s">
        <v>136</v>
      </c>
      <c r="C417" t="s">
        <v>1354</v>
      </c>
    </row>
    <row r="418" spans="1:3" hidden="1" x14ac:dyDescent="0.35">
      <c r="A418" s="25" t="s">
        <v>5</v>
      </c>
      <c r="B418" t="s">
        <v>3</v>
      </c>
      <c r="C418" t="s">
        <v>1354</v>
      </c>
    </row>
    <row r="419" spans="1:3" hidden="1" x14ac:dyDescent="0.35">
      <c r="A419" s="25" t="s">
        <v>1128</v>
      </c>
      <c r="B419" t="s">
        <v>1127</v>
      </c>
      <c r="C419" t="s">
        <v>1359</v>
      </c>
    </row>
    <row r="420" spans="1:3" hidden="1" x14ac:dyDescent="0.35">
      <c r="A420" s="25" t="s">
        <v>1118</v>
      </c>
      <c r="B420" t="s">
        <v>1117</v>
      </c>
      <c r="C420" t="s">
        <v>1359</v>
      </c>
    </row>
    <row r="421" spans="1:3" hidden="1" x14ac:dyDescent="0.35">
      <c r="A421" s="25" t="s">
        <v>1114</v>
      </c>
      <c r="B421" t="s">
        <v>1113</v>
      </c>
      <c r="C421" t="s">
        <v>1359</v>
      </c>
    </row>
    <row r="422" spans="1:3" hidden="1" x14ac:dyDescent="0.35">
      <c r="A422" s="25" t="s">
        <v>966</v>
      </c>
      <c r="B422" t="s">
        <v>965</v>
      </c>
      <c r="C422" t="s">
        <v>1359</v>
      </c>
    </row>
    <row r="423" spans="1:3" hidden="1" x14ac:dyDescent="0.35">
      <c r="A423" s="25" t="s">
        <v>964</v>
      </c>
      <c r="B423" t="s">
        <v>963</v>
      </c>
      <c r="C423" t="s">
        <v>1359</v>
      </c>
    </row>
    <row r="424" spans="1:3" hidden="1" x14ac:dyDescent="0.35">
      <c r="A424" s="25" t="s">
        <v>924</v>
      </c>
      <c r="B424" t="s">
        <v>923</v>
      </c>
      <c r="C424" t="s">
        <v>1359</v>
      </c>
    </row>
    <row r="425" spans="1:3" hidden="1" x14ac:dyDescent="0.35">
      <c r="A425" s="25" t="s">
        <v>892</v>
      </c>
      <c r="B425" t="s">
        <v>891</v>
      </c>
      <c r="C425" t="s">
        <v>1359</v>
      </c>
    </row>
    <row r="426" spans="1:3" hidden="1" x14ac:dyDescent="0.35">
      <c r="A426" s="25" t="s">
        <v>613</v>
      </c>
      <c r="B426" t="s">
        <v>611</v>
      </c>
      <c r="C426" t="s">
        <v>1316</v>
      </c>
    </row>
    <row r="427" spans="1:3" hidden="1" x14ac:dyDescent="0.35">
      <c r="A427" s="25" t="s">
        <v>495</v>
      </c>
      <c r="B427" t="s">
        <v>494</v>
      </c>
      <c r="C427" t="s">
        <v>1316</v>
      </c>
    </row>
    <row r="428" spans="1:3" hidden="1" x14ac:dyDescent="0.35">
      <c r="A428" s="25" t="s">
        <v>389</v>
      </c>
      <c r="B428" t="s">
        <v>386</v>
      </c>
      <c r="C428" t="s">
        <v>1316</v>
      </c>
    </row>
    <row r="429" spans="1:3" hidden="1" x14ac:dyDescent="0.35">
      <c r="A429" s="25" t="s">
        <v>388</v>
      </c>
      <c r="B429" t="s">
        <v>386</v>
      </c>
      <c r="C429" t="s">
        <v>1316</v>
      </c>
    </row>
    <row r="430" spans="1:3" hidden="1" x14ac:dyDescent="0.35">
      <c r="A430" s="25" t="s">
        <v>387</v>
      </c>
      <c r="B430" t="s">
        <v>386</v>
      </c>
      <c r="C430" t="s">
        <v>1316</v>
      </c>
    </row>
    <row r="431" spans="1:3" hidden="1" x14ac:dyDescent="0.35">
      <c r="A431" s="25" t="s">
        <v>312</v>
      </c>
      <c r="B431" t="s">
        <v>311</v>
      </c>
      <c r="C431" t="s">
        <v>1316</v>
      </c>
    </row>
    <row r="432" spans="1:3" hidden="1" x14ac:dyDescent="0.35">
      <c r="A432" s="25" t="s">
        <v>310</v>
      </c>
      <c r="B432" t="s">
        <v>309</v>
      </c>
      <c r="C432" t="s">
        <v>1316</v>
      </c>
    </row>
    <row r="433" spans="1:3" hidden="1" x14ac:dyDescent="0.35">
      <c r="A433" s="25" t="s">
        <v>220</v>
      </c>
      <c r="B433" t="s">
        <v>217</v>
      </c>
      <c r="C433" t="s">
        <v>1316</v>
      </c>
    </row>
    <row r="434" spans="1:3" hidden="1" x14ac:dyDescent="0.35">
      <c r="A434" s="25" t="s">
        <v>151</v>
      </c>
      <c r="B434" t="s">
        <v>146</v>
      </c>
      <c r="C434" t="s">
        <v>1316</v>
      </c>
    </row>
    <row r="435" spans="1:3" hidden="1" x14ac:dyDescent="0.35">
      <c r="A435" s="25" t="s">
        <v>1112</v>
      </c>
      <c r="B435" t="s">
        <v>1110</v>
      </c>
      <c r="C435" t="s">
        <v>1317</v>
      </c>
    </row>
    <row r="436" spans="1:3" hidden="1" x14ac:dyDescent="0.35">
      <c r="A436" s="25" t="s">
        <v>1111</v>
      </c>
      <c r="B436" t="s">
        <v>1110</v>
      </c>
      <c r="C436" t="s">
        <v>1317</v>
      </c>
    </row>
    <row r="437" spans="1:3" hidden="1" x14ac:dyDescent="0.35">
      <c r="A437" s="25" t="s">
        <v>1107</v>
      </c>
      <c r="B437" t="s">
        <v>1106</v>
      </c>
      <c r="C437" t="s">
        <v>1317</v>
      </c>
    </row>
    <row r="438" spans="1:3" hidden="1" x14ac:dyDescent="0.35">
      <c r="A438" s="25" t="s">
        <v>772</v>
      </c>
      <c r="B438" t="s">
        <v>771</v>
      </c>
      <c r="C438" t="s">
        <v>1317</v>
      </c>
    </row>
    <row r="439" spans="1:3" hidden="1" x14ac:dyDescent="0.35">
      <c r="A439" s="25" t="s">
        <v>770</v>
      </c>
      <c r="B439" t="s">
        <v>769</v>
      </c>
      <c r="C439" t="s">
        <v>1317</v>
      </c>
    </row>
    <row r="440" spans="1:3" hidden="1" x14ac:dyDescent="0.35">
      <c r="A440" s="25" t="s">
        <v>768</v>
      </c>
      <c r="B440" t="s">
        <v>767</v>
      </c>
      <c r="C440" t="s">
        <v>1317</v>
      </c>
    </row>
    <row r="441" spans="1:3" hidden="1" x14ac:dyDescent="0.35">
      <c r="A441" s="25" t="s">
        <v>760</v>
      </c>
      <c r="B441" t="s">
        <v>759</v>
      </c>
      <c r="C441" t="s">
        <v>1317</v>
      </c>
    </row>
    <row r="442" spans="1:3" hidden="1" x14ac:dyDescent="0.35">
      <c r="A442" s="25" t="s">
        <v>538</v>
      </c>
      <c r="B442" t="s">
        <v>537</v>
      </c>
      <c r="C442" t="s">
        <v>1317</v>
      </c>
    </row>
    <row r="443" spans="1:3" hidden="1" x14ac:dyDescent="0.35">
      <c r="A443" s="25" t="s">
        <v>513</v>
      </c>
      <c r="B443" t="s">
        <v>512</v>
      </c>
      <c r="C443" t="s">
        <v>1317</v>
      </c>
    </row>
    <row r="444" spans="1:3" hidden="1" x14ac:dyDescent="0.35">
      <c r="A444" s="25" t="s">
        <v>470</v>
      </c>
      <c r="B444" t="s">
        <v>469</v>
      </c>
      <c r="C444" t="s">
        <v>1317</v>
      </c>
    </row>
    <row r="445" spans="1:3" hidden="1" x14ac:dyDescent="0.35">
      <c r="A445" s="25" t="s">
        <v>233</v>
      </c>
      <c r="B445" t="s">
        <v>232</v>
      </c>
      <c r="C445" t="s">
        <v>1317</v>
      </c>
    </row>
    <row r="446" spans="1:3" hidden="1" x14ac:dyDescent="0.35">
      <c r="A446" s="25" t="s">
        <v>139</v>
      </c>
      <c r="B446" t="s">
        <v>138</v>
      </c>
      <c r="C446" t="s">
        <v>1317</v>
      </c>
    </row>
    <row r="447" spans="1:3" hidden="1" x14ac:dyDescent="0.35">
      <c r="A447" s="25" t="s">
        <v>96</v>
      </c>
      <c r="B447" t="s">
        <v>95</v>
      </c>
      <c r="C447" t="s">
        <v>1317</v>
      </c>
    </row>
    <row r="448" spans="1:3" hidden="1" x14ac:dyDescent="0.35">
      <c r="A448" s="25" t="s">
        <v>534</v>
      </c>
      <c r="B448" t="s">
        <v>533</v>
      </c>
      <c r="C448" t="s">
        <v>1318</v>
      </c>
    </row>
    <row r="449" spans="1:3" hidden="1" x14ac:dyDescent="0.35">
      <c r="A449" s="25" t="s">
        <v>497</v>
      </c>
      <c r="B449" t="s">
        <v>494</v>
      </c>
      <c r="C449" t="s">
        <v>1318</v>
      </c>
    </row>
    <row r="450" spans="1:3" hidden="1" x14ac:dyDescent="0.35">
      <c r="A450" s="25" t="s">
        <v>472</v>
      </c>
      <c r="B450" t="s">
        <v>471</v>
      </c>
      <c r="C450" t="s">
        <v>1318</v>
      </c>
    </row>
    <row r="451" spans="1:3" hidden="1" x14ac:dyDescent="0.35">
      <c r="A451" s="25" t="s">
        <v>468</v>
      </c>
      <c r="B451" t="s">
        <v>467</v>
      </c>
      <c r="C451" t="s">
        <v>1318</v>
      </c>
    </row>
    <row r="452" spans="1:3" hidden="1" x14ac:dyDescent="0.35">
      <c r="A452" s="25" t="s">
        <v>466</v>
      </c>
      <c r="B452" t="s">
        <v>465</v>
      </c>
      <c r="C452" t="s">
        <v>1318</v>
      </c>
    </row>
    <row r="453" spans="1:3" hidden="1" x14ac:dyDescent="0.35">
      <c r="A453" s="25" t="s">
        <v>437</v>
      </c>
      <c r="B453" t="s">
        <v>436</v>
      </c>
      <c r="C453" t="s">
        <v>1318</v>
      </c>
    </row>
    <row r="454" spans="1:3" hidden="1" x14ac:dyDescent="0.35">
      <c r="A454" s="25" t="s">
        <v>417</v>
      </c>
      <c r="B454" t="s">
        <v>416</v>
      </c>
      <c r="C454" t="s">
        <v>1318</v>
      </c>
    </row>
    <row r="455" spans="1:3" hidden="1" x14ac:dyDescent="0.35">
      <c r="A455" s="25" t="s">
        <v>357</v>
      </c>
      <c r="B455" t="s">
        <v>356</v>
      </c>
      <c r="C455" t="s">
        <v>1318</v>
      </c>
    </row>
    <row r="456" spans="1:3" hidden="1" x14ac:dyDescent="0.35">
      <c r="A456" s="25" t="s">
        <v>348</v>
      </c>
      <c r="B456" t="s">
        <v>347</v>
      </c>
      <c r="C456" t="s">
        <v>1318</v>
      </c>
    </row>
    <row r="457" spans="1:3" hidden="1" x14ac:dyDescent="0.35">
      <c r="A457" s="25" t="s">
        <v>92</v>
      </c>
      <c r="B457" t="s">
        <v>91</v>
      </c>
      <c r="C457" t="s">
        <v>1318</v>
      </c>
    </row>
    <row r="458" spans="1:3" hidden="1" x14ac:dyDescent="0.35">
      <c r="A458" s="25" t="s">
        <v>678</v>
      </c>
      <c r="B458" t="s">
        <v>677</v>
      </c>
      <c r="C458" t="s">
        <v>1319</v>
      </c>
    </row>
    <row r="459" spans="1:3" hidden="1" x14ac:dyDescent="0.35">
      <c r="A459" s="25" t="s">
        <v>668</v>
      </c>
      <c r="B459" t="s">
        <v>667</v>
      </c>
      <c r="C459" t="s">
        <v>1319</v>
      </c>
    </row>
    <row r="460" spans="1:3" hidden="1" x14ac:dyDescent="0.35">
      <c r="A460" s="25" t="s">
        <v>601</v>
      </c>
      <c r="B460" t="s">
        <v>599</v>
      </c>
      <c r="C460" t="s">
        <v>1319</v>
      </c>
    </row>
    <row r="461" spans="1:3" hidden="1" x14ac:dyDescent="0.35">
      <c r="A461" s="25" t="s">
        <v>600</v>
      </c>
      <c r="B461" t="s">
        <v>599</v>
      </c>
      <c r="C461" t="s">
        <v>1319</v>
      </c>
    </row>
    <row r="462" spans="1:3" hidden="1" x14ac:dyDescent="0.35">
      <c r="A462" s="25" t="s">
        <v>496</v>
      </c>
      <c r="B462" t="s">
        <v>494</v>
      </c>
      <c r="C462" t="s">
        <v>1319</v>
      </c>
    </row>
    <row r="463" spans="1:3" hidden="1" x14ac:dyDescent="0.35">
      <c r="A463" s="25" t="s">
        <v>476</v>
      </c>
      <c r="B463" t="s">
        <v>475</v>
      </c>
      <c r="C463" t="s">
        <v>1319</v>
      </c>
    </row>
    <row r="464" spans="1:3" hidden="1" x14ac:dyDescent="0.35">
      <c r="A464" s="25" t="s">
        <v>375</v>
      </c>
      <c r="B464" t="s">
        <v>371</v>
      </c>
      <c r="C464" t="s">
        <v>1319</v>
      </c>
    </row>
    <row r="465" spans="1:3" hidden="1" x14ac:dyDescent="0.35">
      <c r="A465" s="25" t="s">
        <v>374</v>
      </c>
      <c r="B465" t="s">
        <v>371</v>
      </c>
      <c r="C465" t="s">
        <v>1319</v>
      </c>
    </row>
    <row r="466" spans="1:3" hidden="1" x14ac:dyDescent="0.35">
      <c r="A466" s="25" t="s">
        <v>373</v>
      </c>
      <c r="B466" t="s">
        <v>371</v>
      </c>
      <c r="C466" t="s">
        <v>1319</v>
      </c>
    </row>
    <row r="467" spans="1:3" hidden="1" x14ac:dyDescent="0.35">
      <c r="A467" s="25" t="s">
        <v>293</v>
      </c>
      <c r="B467" t="s">
        <v>292</v>
      </c>
      <c r="C467" t="s">
        <v>1319</v>
      </c>
    </row>
    <row r="468" spans="1:3" hidden="1" x14ac:dyDescent="0.35">
      <c r="A468" s="25" t="s">
        <v>149</v>
      </c>
      <c r="B468" t="s">
        <v>146</v>
      </c>
      <c r="C468" t="s">
        <v>1319</v>
      </c>
    </row>
    <row r="469" spans="1:3" hidden="1" x14ac:dyDescent="0.35">
      <c r="A469" s="25" t="s">
        <v>135</v>
      </c>
      <c r="B469" t="s">
        <v>134</v>
      </c>
      <c r="C469" t="s">
        <v>1319</v>
      </c>
    </row>
    <row r="470" spans="1:3" hidden="1" x14ac:dyDescent="0.35">
      <c r="A470" s="25" t="s">
        <v>106</v>
      </c>
      <c r="B470" t="s">
        <v>105</v>
      </c>
      <c r="C470" t="s">
        <v>1319</v>
      </c>
    </row>
    <row r="471" spans="1:3" hidden="1" x14ac:dyDescent="0.35">
      <c r="A471" s="25" t="s">
        <v>84</v>
      </c>
      <c r="B471" t="s">
        <v>83</v>
      </c>
      <c r="C471" t="s">
        <v>1319</v>
      </c>
    </row>
    <row r="472" spans="1:3" hidden="1" x14ac:dyDescent="0.35">
      <c r="A472" s="25" t="s">
        <v>80</v>
      </c>
      <c r="B472" t="s">
        <v>79</v>
      </c>
      <c r="C472" t="s">
        <v>1319</v>
      </c>
    </row>
    <row r="473" spans="1:3" hidden="1" x14ac:dyDescent="0.35">
      <c r="A473" s="25" t="s">
        <v>75</v>
      </c>
      <c r="B473" t="s">
        <v>74</v>
      </c>
      <c r="C473" t="s">
        <v>1319</v>
      </c>
    </row>
    <row r="474" spans="1:3" hidden="1" x14ac:dyDescent="0.35">
      <c r="A474" s="25" t="s">
        <v>686</v>
      </c>
      <c r="B474" t="s">
        <v>685</v>
      </c>
      <c r="C474" t="s">
        <v>1337</v>
      </c>
    </row>
    <row r="475" spans="1:3" hidden="1" x14ac:dyDescent="0.35">
      <c r="A475" s="25" t="s">
        <v>572</v>
      </c>
      <c r="B475" t="s">
        <v>571</v>
      </c>
      <c r="C475" t="s">
        <v>1320</v>
      </c>
    </row>
    <row r="476" spans="1:3" hidden="1" x14ac:dyDescent="0.35">
      <c r="A476" s="25" t="s">
        <v>453</v>
      </c>
      <c r="B476" t="s">
        <v>451</v>
      </c>
      <c r="C476" t="s">
        <v>1320</v>
      </c>
    </row>
    <row r="477" spans="1:3" hidden="1" x14ac:dyDescent="0.35">
      <c r="A477" s="25" t="s">
        <v>445</v>
      </c>
      <c r="B477" t="s">
        <v>444</v>
      </c>
      <c r="C477" t="s">
        <v>1320</v>
      </c>
    </row>
    <row r="478" spans="1:3" hidden="1" x14ac:dyDescent="0.35">
      <c r="A478" s="25" t="s">
        <v>370</v>
      </c>
      <c r="B478" t="s">
        <v>369</v>
      </c>
      <c r="C478" t="s">
        <v>1320</v>
      </c>
    </row>
    <row r="479" spans="1:3" hidden="1" x14ac:dyDescent="0.35">
      <c r="A479" s="25" t="s">
        <v>336</v>
      </c>
      <c r="B479" t="s">
        <v>335</v>
      </c>
      <c r="C479" t="s">
        <v>1320</v>
      </c>
    </row>
    <row r="480" spans="1:3" hidden="1" x14ac:dyDescent="0.35">
      <c r="A480" s="25" t="s">
        <v>296</v>
      </c>
      <c r="B480" t="s">
        <v>292</v>
      </c>
      <c r="C480" t="s">
        <v>1320</v>
      </c>
    </row>
    <row r="481" spans="1:3" hidden="1" x14ac:dyDescent="0.35">
      <c r="A481" s="25" t="s">
        <v>245</v>
      </c>
      <c r="B481" t="s">
        <v>244</v>
      </c>
      <c r="C481" t="s">
        <v>1320</v>
      </c>
    </row>
    <row r="482" spans="1:3" hidden="1" x14ac:dyDescent="0.35">
      <c r="A482" s="25" t="s">
        <v>240</v>
      </c>
      <c r="B482" t="s">
        <v>239</v>
      </c>
      <c r="C482" t="s">
        <v>1320</v>
      </c>
    </row>
    <row r="483" spans="1:3" hidden="1" x14ac:dyDescent="0.35">
      <c r="A483" s="25" t="s">
        <v>221</v>
      </c>
      <c r="B483" t="s">
        <v>217</v>
      </c>
      <c r="C483" t="s">
        <v>1320</v>
      </c>
    </row>
    <row r="484" spans="1:3" hidden="1" x14ac:dyDescent="0.35">
      <c r="A484" s="25" t="s">
        <v>219</v>
      </c>
      <c r="B484" t="s">
        <v>217</v>
      </c>
      <c r="C484" t="s">
        <v>1320</v>
      </c>
    </row>
    <row r="485" spans="1:3" hidden="1" x14ac:dyDescent="0.35">
      <c r="A485" s="25" t="s">
        <v>218</v>
      </c>
      <c r="B485" t="s">
        <v>217</v>
      </c>
      <c r="C485" t="s">
        <v>1320</v>
      </c>
    </row>
    <row r="486" spans="1:3" hidden="1" x14ac:dyDescent="0.35">
      <c r="A486" s="25" t="s">
        <v>216</v>
      </c>
      <c r="B486" t="s">
        <v>215</v>
      </c>
      <c r="C486" t="s">
        <v>1320</v>
      </c>
    </row>
    <row r="487" spans="1:3" hidden="1" x14ac:dyDescent="0.35">
      <c r="A487" s="25" t="s">
        <v>197</v>
      </c>
      <c r="B487" t="s">
        <v>196</v>
      </c>
      <c r="C487" t="s">
        <v>1320</v>
      </c>
    </row>
    <row r="488" spans="1:3" hidden="1" x14ac:dyDescent="0.35">
      <c r="A488" s="25" t="s">
        <v>181</v>
      </c>
      <c r="B488" t="s">
        <v>178</v>
      </c>
      <c r="C488" t="s">
        <v>1320</v>
      </c>
    </row>
    <row r="489" spans="1:3" hidden="1" x14ac:dyDescent="0.35">
      <c r="A489" s="25" t="s">
        <v>180</v>
      </c>
      <c r="B489" t="s">
        <v>178</v>
      </c>
      <c r="C489" t="s">
        <v>1320</v>
      </c>
    </row>
    <row r="490" spans="1:3" hidden="1" x14ac:dyDescent="0.35">
      <c r="A490" s="25" t="s">
        <v>179</v>
      </c>
      <c r="B490" t="s">
        <v>178</v>
      </c>
      <c r="C490" t="s">
        <v>1320</v>
      </c>
    </row>
    <row r="491" spans="1:3" hidden="1" x14ac:dyDescent="0.35">
      <c r="A491" s="25" t="s">
        <v>177</v>
      </c>
      <c r="B491" t="s">
        <v>176</v>
      </c>
      <c r="C491" t="s">
        <v>1320</v>
      </c>
    </row>
    <row r="492" spans="1:3" hidden="1" x14ac:dyDescent="0.35">
      <c r="A492" s="25" t="s">
        <v>65</v>
      </c>
      <c r="B492" t="s">
        <v>64</v>
      </c>
      <c r="C492" t="s">
        <v>1320</v>
      </c>
    </row>
    <row r="493" spans="1:3" hidden="1" x14ac:dyDescent="0.35">
      <c r="A493" s="25" t="s">
        <v>1249</v>
      </c>
      <c r="B493" t="s">
        <v>1248</v>
      </c>
      <c r="C493" t="s">
        <v>1321</v>
      </c>
    </row>
    <row r="494" spans="1:3" hidden="1" x14ac:dyDescent="0.35">
      <c r="A494" s="25" t="s">
        <v>1180</v>
      </c>
      <c r="B494" t="s">
        <v>1181</v>
      </c>
      <c r="C494" t="s">
        <v>1321</v>
      </c>
    </row>
    <row r="495" spans="1:3" hidden="1" x14ac:dyDescent="0.35">
      <c r="A495" s="25" t="s">
        <v>1172</v>
      </c>
      <c r="B495" t="s">
        <v>1171</v>
      </c>
      <c r="C495" t="s">
        <v>1321</v>
      </c>
    </row>
    <row r="496" spans="1:3" hidden="1" x14ac:dyDescent="0.35">
      <c r="A496" s="25" t="s">
        <v>1135</v>
      </c>
      <c r="B496" t="s">
        <v>1134</v>
      </c>
      <c r="C496" t="s">
        <v>1321</v>
      </c>
    </row>
    <row r="497" spans="1:3" hidden="1" x14ac:dyDescent="0.35">
      <c r="A497" s="25" t="s">
        <v>1133</v>
      </c>
      <c r="B497" t="s">
        <v>1132</v>
      </c>
      <c r="C497" t="s">
        <v>1321</v>
      </c>
    </row>
    <row r="498" spans="1:3" hidden="1" x14ac:dyDescent="0.35">
      <c r="A498" s="25" t="s">
        <v>1131</v>
      </c>
      <c r="B498" t="s">
        <v>863</v>
      </c>
      <c r="C498" t="s">
        <v>1321</v>
      </c>
    </row>
    <row r="499" spans="1:3" hidden="1" x14ac:dyDescent="0.35">
      <c r="A499" s="25" t="s">
        <v>1130</v>
      </c>
      <c r="B499" t="s">
        <v>1129</v>
      </c>
      <c r="C499" t="s">
        <v>1321</v>
      </c>
    </row>
    <row r="500" spans="1:3" hidden="1" x14ac:dyDescent="0.35">
      <c r="A500" s="25" t="s">
        <v>1124</v>
      </c>
      <c r="B500" t="s">
        <v>1123</v>
      </c>
      <c r="C500" t="s">
        <v>1321</v>
      </c>
    </row>
    <row r="501" spans="1:3" hidden="1" x14ac:dyDescent="0.35">
      <c r="A501" s="25" t="s">
        <v>1122</v>
      </c>
      <c r="B501" t="s">
        <v>1121</v>
      </c>
      <c r="C501" t="s">
        <v>1321</v>
      </c>
    </row>
    <row r="502" spans="1:3" hidden="1" x14ac:dyDescent="0.35">
      <c r="A502" s="25" t="s">
        <v>1120</v>
      </c>
      <c r="B502" t="s">
        <v>1119</v>
      </c>
      <c r="C502" t="s">
        <v>1321</v>
      </c>
    </row>
    <row r="503" spans="1:3" hidden="1" x14ac:dyDescent="0.35">
      <c r="A503" s="25" t="s">
        <v>1116</v>
      </c>
      <c r="B503" t="s">
        <v>1115</v>
      </c>
      <c r="C503" t="s">
        <v>1321</v>
      </c>
    </row>
    <row r="504" spans="1:3" hidden="1" x14ac:dyDescent="0.35">
      <c r="A504" s="25" t="s">
        <v>1051</v>
      </c>
      <c r="B504" t="s">
        <v>1050</v>
      </c>
      <c r="C504" t="s">
        <v>1321</v>
      </c>
    </row>
    <row r="505" spans="1:3" hidden="1" x14ac:dyDescent="0.35">
      <c r="A505" s="25" t="s">
        <v>1042</v>
      </c>
      <c r="B505" t="s">
        <v>1041</v>
      </c>
      <c r="C505" t="s">
        <v>1321</v>
      </c>
    </row>
    <row r="506" spans="1:3" hidden="1" x14ac:dyDescent="0.35">
      <c r="A506" s="25" t="s">
        <v>1015</v>
      </c>
      <c r="B506" t="s">
        <v>1014</v>
      </c>
      <c r="C506" t="s">
        <v>1321</v>
      </c>
    </row>
    <row r="507" spans="1:3" hidden="1" x14ac:dyDescent="0.35">
      <c r="A507" s="25" t="s">
        <v>1003</v>
      </c>
      <c r="B507" t="s">
        <v>1002</v>
      </c>
      <c r="C507" t="s">
        <v>1321</v>
      </c>
    </row>
    <row r="508" spans="1:3" hidden="1" x14ac:dyDescent="0.35">
      <c r="A508" s="25" t="s">
        <v>1001</v>
      </c>
      <c r="B508" t="s">
        <v>1000</v>
      </c>
      <c r="C508" t="s">
        <v>1321</v>
      </c>
    </row>
    <row r="509" spans="1:3" hidden="1" x14ac:dyDescent="0.35">
      <c r="A509" s="25" t="s">
        <v>999</v>
      </c>
      <c r="B509" t="s">
        <v>998</v>
      </c>
      <c r="C509" t="s">
        <v>1321</v>
      </c>
    </row>
    <row r="510" spans="1:3" hidden="1" x14ac:dyDescent="0.35">
      <c r="A510" s="25" t="s">
        <v>991</v>
      </c>
      <c r="B510" t="s">
        <v>990</v>
      </c>
      <c r="C510" t="s">
        <v>1321</v>
      </c>
    </row>
    <row r="511" spans="1:3" hidden="1" x14ac:dyDescent="0.35">
      <c r="A511" s="25" t="s">
        <v>905</v>
      </c>
      <c r="B511" t="s">
        <v>904</v>
      </c>
      <c r="C511" t="s">
        <v>1321</v>
      </c>
    </row>
    <row r="512" spans="1:3" hidden="1" x14ac:dyDescent="0.35">
      <c r="A512" s="25" t="s">
        <v>903</v>
      </c>
      <c r="B512" t="s">
        <v>902</v>
      </c>
      <c r="C512" t="s">
        <v>1321</v>
      </c>
    </row>
    <row r="513" spans="1:3" hidden="1" x14ac:dyDescent="0.35">
      <c r="A513" s="25" t="s">
        <v>901</v>
      </c>
      <c r="B513" t="s">
        <v>900</v>
      </c>
      <c r="C513" t="s">
        <v>1321</v>
      </c>
    </row>
    <row r="514" spans="1:3" hidden="1" x14ac:dyDescent="0.35">
      <c r="A514" s="25" t="s">
        <v>894</v>
      </c>
      <c r="B514" t="s">
        <v>893</v>
      </c>
      <c r="C514" t="s">
        <v>1321</v>
      </c>
    </row>
    <row r="515" spans="1:3" hidden="1" x14ac:dyDescent="0.35">
      <c r="A515" s="25" t="s">
        <v>866</v>
      </c>
      <c r="B515" t="s">
        <v>865</v>
      </c>
      <c r="C515" t="s">
        <v>1321</v>
      </c>
    </row>
    <row r="516" spans="1:3" hidden="1" x14ac:dyDescent="0.35">
      <c r="A516" s="25" t="s">
        <v>864</v>
      </c>
      <c r="B516" t="s">
        <v>863</v>
      </c>
      <c r="C516" t="s">
        <v>1321</v>
      </c>
    </row>
    <row r="517" spans="1:3" hidden="1" x14ac:dyDescent="0.35">
      <c r="A517" s="25" t="s">
        <v>852</v>
      </c>
      <c r="B517" t="s">
        <v>851</v>
      </c>
      <c r="C517" t="s">
        <v>1321</v>
      </c>
    </row>
    <row r="518" spans="1:3" hidden="1" x14ac:dyDescent="0.35">
      <c r="A518" s="25" t="s">
        <v>850</v>
      </c>
      <c r="B518" t="s">
        <v>849</v>
      </c>
      <c r="C518" t="s">
        <v>1321</v>
      </c>
    </row>
    <row r="519" spans="1:3" hidden="1" x14ac:dyDescent="0.35">
      <c r="A519" s="25" t="s">
        <v>848</v>
      </c>
      <c r="B519" t="s">
        <v>847</v>
      </c>
      <c r="C519" t="s">
        <v>1321</v>
      </c>
    </row>
    <row r="520" spans="1:3" hidden="1" x14ac:dyDescent="0.35">
      <c r="A520" s="25" t="s">
        <v>846</v>
      </c>
      <c r="B520" t="s">
        <v>845</v>
      </c>
      <c r="C520" t="s">
        <v>1321</v>
      </c>
    </row>
    <row r="521" spans="1:3" hidden="1" x14ac:dyDescent="0.35">
      <c r="A521" s="25" t="s">
        <v>840</v>
      </c>
      <c r="B521" t="s">
        <v>839</v>
      </c>
      <c r="C521" t="s">
        <v>1321</v>
      </c>
    </row>
    <row r="522" spans="1:3" hidden="1" x14ac:dyDescent="0.35">
      <c r="A522" s="25" t="s">
        <v>838</v>
      </c>
      <c r="B522" t="s">
        <v>837</v>
      </c>
      <c r="C522" t="s">
        <v>1321</v>
      </c>
    </row>
    <row r="523" spans="1:3" hidden="1" x14ac:dyDescent="0.35">
      <c r="A523" s="25" t="s">
        <v>836</v>
      </c>
      <c r="B523" t="s">
        <v>835</v>
      </c>
      <c r="C523" t="s">
        <v>1321</v>
      </c>
    </row>
    <row r="524" spans="1:3" hidden="1" x14ac:dyDescent="0.35">
      <c r="A524" s="25" t="s">
        <v>832</v>
      </c>
      <c r="B524" t="s">
        <v>831</v>
      </c>
      <c r="C524" t="s">
        <v>1321</v>
      </c>
    </row>
    <row r="525" spans="1:3" hidden="1" x14ac:dyDescent="0.35">
      <c r="A525" s="25" t="s">
        <v>830</v>
      </c>
      <c r="B525" t="s">
        <v>829</v>
      </c>
      <c r="C525" t="s">
        <v>1321</v>
      </c>
    </row>
    <row r="526" spans="1:3" hidden="1" x14ac:dyDescent="0.35">
      <c r="A526" s="25" t="s">
        <v>828</v>
      </c>
      <c r="B526" t="s">
        <v>827</v>
      </c>
      <c r="C526" t="s">
        <v>1321</v>
      </c>
    </row>
    <row r="527" spans="1:3" hidden="1" x14ac:dyDescent="0.35">
      <c r="A527" s="25" t="s">
        <v>826</v>
      </c>
      <c r="B527" t="s">
        <v>825</v>
      </c>
      <c r="C527" t="s">
        <v>1321</v>
      </c>
    </row>
    <row r="528" spans="1:3" hidden="1" x14ac:dyDescent="0.35">
      <c r="A528" s="25" t="s">
        <v>824</v>
      </c>
      <c r="B528" t="s">
        <v>823</v>
      </c>
      <c r="C528" t="s">
        <v>1321</v>
      </c>
    </row>
    <row r="529" spans="1:3" hidden="1" x14ac:dyDescent="0.35">
      <c r="A529" s="25" t="s">
        <v>822</v>
      </c>
      <c r="B529" t="s">
        <v>821</v>
      </c>
      <c r="C529" t="s">
        <v>1321</v>
      </c>
    </row>
    <row r="530" spans="1:3" hidden="1" x14ac:dyDescent="0.35">
      <c r="A530" s="25" t="s">
        <v>818</v>
      </c>
      <c r="B530" t="s">
        <v>817</v>
      </c>
      <c r="C530" t="s">
        <v>1321</v>
      </c>
    </row>
    <row r="531" spans="1:3" hidden="1" x14ac:dyDescent="0.35">
      <c r="A531" s="25" t="s">
        <v>812</v>
      </c>
      <c r="B531" t="s">
        <v>811</v>
      </c>
      <c r="C531" t="s">
        <v>1321</v>
      </c>
    </row>
    <row r="532" spans="1:3" hidden="1" x14ac:dyDescent="0.35">
      <c r="A532" s="25" t="s">
        <v>810</v>
      </c>
      <c r="B532" t="s">
        <v>809</v>
      </c>
      <c r="C532" t="s">
        <v>1321</v>
      </c>
    </row>
    <row r="533" spans="1:3" hidden="1" x14ac:dyDescent="0.35">
      <c r="A533" s="25" t="s">
        <v>797</v>
      </c>
      <c r="B533" t="s">
        <v>796</v>
      </c>
      <c r="C533" t="s">
        <v>1321</v>
      </c>
    </row>
    <row r="534" spans="1:3" hidden="1" x14ac:dyDescent="0.35">
      <c r="A534" s="25" t="s">
        <v>795</v>
      </c>
      <c r="B534" t="s">
        <v>794</v>
      </c>
      <c r="C534" t="s">
        <v>1321</v>
      </c>
    </row>
    <row r="535" spans="1:3" hidden="1" x14ac:dyDescent="0.35">
      <c r="A535" s="25" t="s">
        <v>791</v>
      </c>
      <c r="B535" t="s">
        <v>790</v>
      </c>
      <c r="C535" t="s">
        <v>1321</v>
      </c>
    </row>
    <row r="536" spans="1:3" hidden="1" x14ac:dyDescent="0.35">
      <c r="A536" s="25" t="s">
        <v>789</v>
      </c>
      <c r="B536" t="s">
        <v>788</v>
      </c>
      <c r="C536" t="s">
        <v>1321</v>
      </c>
    </row>
    <row r="537" spans="1:3" hidden="1" x14ac:dyDescent="0.35">
      <c r="A537" s="25" t="s">
        <v>782</v>
      </c>
      <c r="B537" t="s">
        <v>781</v>
      </c>
      <c r="C537" t="s">
        <v>1321</v>
      </c>
    </row>
    <row r="538" spans="1:3" hidden="1" x14ac:dyDescent="0.35">
      <c r="A538" s="25" t="s">
        <v>756</v>
      </c>
      <c r="B538" t="s">
        <v>755</v>
      </c>
      <c r="C538" t="s">
        <v>1321</v>
      </c>
    </row>
    <row r="539" spans="1:3" hidden="1" x14ac:dyDescent="0.35">
      <c r="A539" s="25" t="s">
        <v>750</v>
      </c>
      <c r="B539" t="s">
        <v>749</v>
      </c>
      <c r="C539" t="s">
        <v>1321</v>
      </c>
    </row>
    <row r="540" spans="1:3" hidden="1" x14ac:dyDescent="0.35">
      <c r="A540" s="25" t="s">
        <v>741</v>
      </c>
      <c r="B540" t="s">
        <v>740</v>
      </c>
      <c r="C540" t="s">
        <v>1321</v>
      </c>
    </row>
    <row r="541" spans="1:3" hidden="1" x14ac:dyDescent="0.35">
      <c r="A541" s="25" t="s">
        <v>739</v>
      </c>
      <c r="B541" t="s">
        <v>738</v>
      </c>
      <c r="C541" t="s">
        <v>1321</v>
      </c>
    </row>
    <row r="542" spans="1:3" hidden="1" x14ac:dyDescent="0.35">
      <c r="A542" s="25" t="s">
        <v>729</v>
      </c>
      <c r="B542" t="s">
        <v>728</v>
      </c>
      <c r="C542" t="s">
        <v>1321</v>
      </c>
    </row>
    <row r="543" spans="1:3" hidden="1" x14ac:dyDescent="0.35">
      <c r="A543" s="25" t="s">
        <v>703</v>
      </c>
      <c r="B543" t="s">
        <v>702</v>
      </c>
      <c r="C543" t="s">
        <v>1321</v>
      </c>
    </row>
    <row r="544" spans="1:3" hidden="1" x14ac:dyDescent="0.35">
      <c r="A544" s="25" t="s">
        <v>701</v>
      </c>
      <c r="B544" t="s">
        <v>700</v>
      </c>
      <c r="C544" t="s">
        <v>1321</v>
      </c>
    </row>
    <row r="545" spans="1:3" hidden="1" x14ac:dyDescent="0.35">
      <c r="A545" s="25" t="s">
        <v>699</v>
      </c>
      <c r="B545" t="s">
        <v>698</v>
      </c>
      <c r="C545" t="s">
        <v>1321</v>
      </c>
    </row>
    <row r="546" spans="1:3" hidden="1" x14ac:dyDescent="0.35">
      <c r="A546" s="25" t="s">
        <v>561</v>
      </c>
      <c r="B546" t="s">
        <v>560</v>
      </c>
      <c r="C546" t="s">
        <v>1321</v>
      </c>
    </row>
    <row r="547" spans="1:3" hidden="1" x14ac:dyDescent="0.35">
      <c r="A547" s="25" t="s">
        <v>553</v>
      </c>
      <c r="B547" t="s">
        <v>552</v>
      </c>
      <c r="C547" t="s">
        <v>1321</v>
      </c>
    </row>
    <row r="548" spans="1:3" hidden="1" x14ac:dyDescent="0.35">
      <c r="A548" s="25" t="s">
        <v>544</v>
      </c>
      <c r="B548" t="s">
        <v>543</v>
      </c>
      <c r="C548" t="s">
        <v>1321</v>
      </c>
    </row>
    <row r="549" spans="1:3" hidden="1" x14ac:dyDescent="0.35">
      <c r="A549" s="25" t="s">
        <v>542</v>
      </c>
      <c r="B549" t="s">
        <v>541</v>
      </c>
      <c r="C549" t="s">
        <v>1321</v>
      </c>
    </row>
    <row r="550" spans="1:3" hidden="1" x14ac:dyDescent="0.35">
      <c r="A550" s="25" t="s">
        <v>509</v>
      </c>
      <c r="B550" t="s">
        <v>508</v>
      </c>
      <c r="C550" t="s">
        <v>1321</v>
      </c>
    </row>
    <row r="551" spans="1:3" hidden="1" x14ac:dyDescent="0.35">
      <c r="A551" s="25" t="s">
        <v>485</v>
      </c>
      <c r="B551" t="s">
        <v>484</v>
      </c>
      <c r="C551" t="s">
        <v>1321</v>
      </c>
    </row>
    <row r="552" spans="1:3" hidden="1" x14ac:dyDescent="0.35">
      <c r="A552" s="25" t="s">
        <v>474</v>
      </c>
      <c r="B552" t="s">
        <v>473</v>
      </c>
      <c r="C552" t="s">
        <v>1321</v>
      </c>
    </row>
    <row r="553" spans="1:3" hidden="1" x14ac:dyDescent="0.35">
      <c r="A553" s="25" t="s">
        <v>411</v>
      </c>
      <c r="B553" t="s">
        <v>410</v>
      </c>
      <c r="C553" t="s">
        <v>1321</v>
      </c>
    </row>
    <row r="554" spans="1:3" hidden="1" x14ac:dyDescent="0.35">
      <c r="A554" s="25" t="s">
        <v>405</v>
      </c>
      <c r="B554" t="s">
        <v>404</v>
      </c>
      <c r="C554" t="s">
        <v>1321</v>
      </c>
    </row>
    <row r="555" spans="1:3" hidden="1" x14ac:dyDescent="0.35">
      <c r="A555" s="25" t="s">
        <v>403</v>
      </c>
      <c r="B555" t="s">
        <v>402</v>
      </c>
      <c r="C555" t="s">
        <v>1321</v>
      </c>
    </row>
    <row r="556" spans="1:3" hidden="1" x14ac:dyDescent="0.35">
      <c r="A556" s="25" t="s">
        <v>401</v>
      </c>
      <c r="B556" t="s">
        <v>400</v>
      </c>
      <c r="C556" t="s">
        <v>1321</v>
      </c>
    </row>
    <row r="557" spans="1:3" hidden="1" x14ac:dyDescent="0.35">
      <c r="A557" s="25" t="s">
        <v>395</v>
      </c>
      <c r="B557" t="s">
        <v>394</v>
      </c>
      <c r="C557" t="s">
        <v>1321</v>
      </c>
    </row>
    <row r="558" spans="1:3" hidden="1" x14ac:dyDescent="0.35">
      <c r="A558" s="25" t="s">
        <v>393</v>
      </c>
      <c r="B558" t="s">
        <v>390</v>
      </c>
      <c r="C558" t="s">
        <v>1321</v>
      </c>
    </row>
    <row r="559" spans="1:3" hidden="1" x14ac:dyDescent="0.35">
      <c r="A559" s="25" t="s">
        <v>392</v>
      </c>
      <c r="B559" t="s">
        <v>390</v>
      </c>
      <c r="C559" t="s">
        <v>1321</v>
      </c>
    </row>
    <row r="560" spans="1:3" hidden="1" x14ac:dyDescent="0.35">
      <c r="A560" s="25" t="s">
        <v>391</v>
      </c>
      <c r="B560" t="s">
        <v>390</v>
      </c>
      <c r="C560" t="s">
        <v>1321</v>
      </c>
    </row>
    <row r="561" spans="1:3" hidden="1" x14ac:dyDescent="0.35">
      <c r="A561" s="25" t="s">
        <v>333</v>
      </c>
      <c r="B561" t="s">
        <v>332</v>
      </c>
      <c r="C561" t="s">
        <v>1321</v>
      </c>
    </row>
    <row r="562" spans="1:3" hidden="1" x14ac:dyDescent="0.35">
      <c r="A562" s="25" t="s">
        <v>321</v>
      </c>
      <c r="B562" t="s">
        <v>320</v>
      </c>
      <c r="C562" t="s">
        <v>1321</v>
      </c>
    </row>
    <row r="563" spans="1:3" hidden="1" x14ac:dyDescent="0.35">
      <c r="A563" s="25" t="s">
        <v>319</v>
      </c>
      <c r="B563" t="s">
        <v>318</v>
      </c>
      <c r="C563" t="s">
        <v>1321</v>
      </c>
    </row>
    <row r="564" spans="1:3" hidden="1" x14ac:dyDescent="0.35">
      <c r="A564" s="25" t="s">
        <v>299</v>
      </c>
      <c r="B564" t="s">
        <v>297</v>
      </c>
      <c r="C564" t="s">
        <v>1321</v>
      </c>
    </row>
    <row r="565" spans="1:3" hidden="1" x14ac:dyDescent="0.35">
      <c r="A565" s="25" t="s">
        <v>298</v>
      </c>
      <c r="B565" t="s">
        <v>297</v>
      </c>
      <c r="C565" t="s">
        <v>1321</v>
      </c>
    </row>
    <row r="566" spans="1:3" hidden="1" x14ac:dyDescent="0.35">
      <c r="A566" s="25" t="s">
        <v>265</v>
      </c>
      <c r="B566" t="s">
        <v>264</v>
      </c>
      <c r="C566" t="s">
        <v>1321</v>
      </c>
    </row>
    <row r="567" spans="1:3" hidden="1" x14ac:dyDescent="0.35">
      <c r="A567" s="25" t="s">
        <v>204</v>
      </c>
      <c r="B567" t="s">
        <v>203</v>
      </c>
      <c r="C567" t="s">
        <v>1321</v>
      </c>
    </row>
    <row r="568" spans="1:3" hidden="1" x14ac:dyDescent="0.35">
      <c r="A568" s="25" t="s">
        <v>160</v>
      </c>
      <c r="B568" t="s">
        <v>159</v>
      </c>
      <c r="C568" t="s">
        <v>1321</v>
      </c>
    </row>
    <row r="569" spans="1:3" hidden="1" x14ac:dyDescent="0.35">
      <c r="A569" s="25" t="s">
        <v>86</v>
      </c>
      <c r="B569" t="s">
        <v>85</v>
      </c>
      <c r="C569" t="s">
        <v>1321</v>
      </c>
    </row>
    <row r="570" spans="1:3" hidden="1" x14ac:dyDescent="0.35">
      <c r="A570" s="25" t="s">
        <v>55</v>
      </c>
      <c r="B570" t="s">
        <v>54</v>
      </c>
      <c r="C570" t="s">
        <v>1321</v>
      </c>
    </row>
    <row r="571" spans="1:3" hidden="1" x14ac:dyDescent="0.35">
      <c r="A571" s="25" t="s">
        <v>53</v>
      </c>
      <c r="B571" t="s">
        <v>49</v>
      </c>
      <c r="C571" t="s">
        <v>1321</v>
      </c>
    </row>
    <row r="572" spans="1:3" hidden="1" x14ac:dyDescent="0.35">
      <c r="A572" s="25" t="s">
        <v>52</v>
      </c>
      <c r="B572" t="s">
        <v>49</v>
      </c>
      <c r="C572" t="s">
        <v>1321</v>
      </c>
    </row>
    <row r="573" spans="1:3" hidden="1" x14ac:dyDescent="0.35">
      <c r="A573" s="25" t="s">
        <v>51</v>
      </c>
      <c r="B573" t="s">
        <v>49</v>
      </c>
      <c r="C573" t="s">
        <v>1321</v>
      </c>
    </row>
    <row r="574" spans="1:3" hidden="1" x14ac:dyDescent="0.35">
      <c r="A574" s="25" t="s">
        <v>50</v>
      </c>
      <c r="B574" t="s">
        <v>49</v>
      </c>
      <c r="C574" t="s">
        <v>1321</v>
      </c>
    </row>
    <row r="575" spans="1:3" hidden="1" x14ac:dyDescent="0.35">
      <c r="A575" s="25" t="s">
        <v>48</v>
      </c>
      <c r="B575" t="s">
        <v>47</v>
      </c>
      <c r="C575" t="s">
        <v>1321</v>
      </c>
    </row>
    <row r="576" spans="1:3" hidden="1" x14ac:dyDescent="0.35">
      <c r="A576" s="25" t="s">
        <v>46</v>
      </c>
      <c r="B576" t="s">
        <v>45</v>
      </c>
      <c r="C576" t="s">
        <v>1321</v>
      </c>
    </row>
    <row r="577" spans="1:3" hidden="1" x14ac:dyDescent="0.35">
      <c r="A577" s="25" t="s">
        <v>44</v>
      </c>
      <c r="B577" t="s">
        <v>43</v>
      </c>
      <c r="C577" t="s">
        <v>1321</v>
      </c>
    </row>
    <row r="578" spans="1:3" hidden="1" x14ac:dyDescent="0.35">
      <c r="A578" s="25" t="s">
        <v>42</v>
      </c>
      <c r="B578" t="s">
        <v>41</v>
      </c>
      <c r="C578" t="s">
        <v>1321</v>
      </c>
    </row>
    <row r="579" spans="1:3" hidden="1" x14ac:dyDescent="0.35">
      <c r="A579" s="25" t="s">
        <v>40</v>
      </c>
      <c r="B579" t="s">
        <v>39</v>
      </c>
      <c r="C579" t="s">
        <v>1321</v>
      </c>
    </row>
    <row r="580" spans="1:3" hidden="1" x14ac:dyDescent="0.35">
      <c r="A580" s="25" t="s">
        <v>38</v>
      </c>
      <c r="B580" t="s">
        <v>37</v>
      </c>
      <c r="C580" t="s">
        <v>1321</v>
      </c>
    </row>
    <row r="581" spans="1:3" hidden="1" x14ac:dyDescent="0.35">
      <c r="A581" s="25" t="s">
        <v>36</v>
      </c>
      <c r="B581" t="s">
        <v>35</v>
      </c>
      <c r="C581" t="s">
        <v>1321</v>
      </c>
    </row>
    <row r="582" spans="1:3" hidden="1" x14ac:dyDescent="0.35">
      <c r="A582" s="25" t="s">
        <v>34</v>
      </c>
      <c r="B582" t="s">
        <v>33</v>
      </c>
      <c r="C582" t="s">
        <v>1321</v>
      </c>
    </row>
    <row r="583" spans="1:3" hidden="1" x14ac:dyDescent="0.35">
      <c r="A583" s="25" t="s">
        <v>32</v>
      </c>
      <c r="B583" t="s">
        <v>31</v>
      </c>
      <c r="C583" t="s">
        <v>1321</v>
      </c>
    </row>
    <row r="584" spans="1:3" hidden="1" x14ac:dyDescent="0.35">
      <c r="A584" s="25" t="s">
        <v>30</v>
      </c>
      <c r="B584" t="s">
        <v>29</v>
      </c>
      <c r="C584" t="s">
        <v>1321</v>
      </c>
    </row>
    <row r="585" spans="1:3" hidden="1" x14ac:dyDescent="0.35">
      <c r="A585" s="25" t="s">
        <v>28</v>
      </c>
      <c r="B585" t="s">
        <v>27</v>
      </c>
      <c r="C585" t="s">
        <v>1321</v>
      </c>
    </row>
    <row r="586" spans="1:3" hidden="1" x14ac:dyDescent="0.35">
      <c r="A586" s="25" t="s">
        <v>26</v>
      </c>
      <c r="B586" t="s">
        <v>25</v>
      </c>
      <c r="C586" t="s">
        <v>1321</v>
      </c>
    </row>
    <row r="587" spans="1:3" hidden="1" x14ac:dyDescent="0.35">
      <c r="A587" s="25" t="s">
        <v>1223</v>
      </c>
      <c r="B587" t="s">
        <v>1222</v>
      </c>
      <c r="C587" t="s">
        <v>1336</v>
      </c>
    </row>
    <row r="588" spans="1:3" hidden="1" x14ac:dyDescent="0.35">
      <c r="A588" s="25" t="s">
        <v>1221</v>
      </c>
      <c r="B588" t="s">
        <v>1220</v>
      </c>
      <c r="C588" t="s">
        <v>1336</v>
      </c>
    </row>
    <row r="589" spans="1:3" hidden="1" x14ac:dyDescent="0.35">
      <c r="A589" s="25" t="s">
        <v>1219</v>
      </c>
      <c r="B589" t="s">
        <v>1218</v>
      </c>
      <c r="C589" t="s">
        <v>1336</v>
      </c>
    </row>
    <row r="590" spans="1:3" hidden="1" x14ac:dyDescent="0.35">
      <c r="A590" s="25" t="s">
        <v>802</v>
      </c>
      <c r="B590" t="s">
        <v>801</v>
      </c>
      <c r="C590" t="s">
        <v>1336</v>
      </c>
    </row>
    <row r="591" spans="1:3" hidden="1" x14ac:dyDescent="0.35">
      <c r="A591" s="25" t="s">
        <v>1011</v>
      </c>
      <c r="B591" t="s">
        <v>1010</v>
      </c>
      <c r="C591" t="s">
        <v>1322</v>
      </c>
    </row>
    <row r="592" spans="1:3" hidden="1" x14ac:dyDescent="0.35">
      <c r="A592" s="25" t="s">
        <v>638</v>
      </c>
      <c r="B592" t="s">
        <v>637</v>
      </c>
      <c r="C592" t="s">
        <v>1322</v>
      </c>
    </row>
    <row r="593" spans="1:3" hidden="1" x14ac:dyDescent="0.35">
      <c r="A593" s="25" t="s">
        <v>567</v>
      </c>
      <c r="B593" t="s">
        <v>566</v>
      </c>
      <c r="C593" t="s">
        <v>1322</v>
      </c>
    </row>
    <row r="594" spans="1:3" hidden="1" x14ac:dyDescent="0.35">
      <c r="A594" s="25" t="s">
        <v>565</v>
      </c>
      <c r="B594" t="s">
        <v>564</v>
      </c>
      <c r="C594" t="s">
        <v>1322</v>
      </c>
    </row>
    <row r="595" spans="1:3" hidden="1" x14ac:dyDescent="0.35">
      <c r="A595" s="25" t="s">
        <v>563</v>
      </c>
      <c r="B595" t="s">
        <v>562</v>
      </c>
      <c r="C595" t="s">
        <v>1322</v>
      </c>
    </row>
    <row r="596" spans="1:3" hidden="1" x14ac:dyDescent="0.35">
      <c r="A596" s="25" t="s">
        <v>479</v>
      </c>
      <c r="B596" t="s">
        <v>475</v>
      </c>
      <c r="C596" t="s">
        <v>1322</v>
      </c>
    </row>
    <row r="597" spans="1:3" hidden="1" x14ac:dyDescent="0.35">
      <c r="A597" s="25" t="s">
        <v>289</v>
      </c>
      <c r="B597" t="s">
        <v>287</v>
      </c>
      <c r="C597" t="s">
        <v>1322</v>
      </c>
    </row>
    <row r="598" spans="1:3" hidden="1" x14ac:dyDescent="0.35">
      <c r="A598" s="25" t="s">
        <v>288</v>
      </c>
      <c r="B598" t="s">
        <v>287</v>
      </c>
      <c r="C598" t="s">
        <v>1322</v>
      </c>
    </row>
    <row r="599" spans="1:3" hidden="1" x14ac:dyDescent="0.35">
      <c r="A599" s="25" t="s">
        <v>214</v>
      </c>
      <c r="B599" t="s">
        <v>213</v>
      </c>
      <c r="C599" t="s">
        <v>1322</v>
      </c>
    </row>
    <row r="600" spans="1:3" hidden="1" x14ac:dyDescent="0.35">
      <c r="A600" s="25" t="s">
        <v>228</v>
      </c>
      <c r="B600" t="s">
        <v>227</v>
      </c>
      <c r="C600" t="s">
        <v>1353</v>
      </c>
    </row>
    <row r="601" spans="1:3" hidden="1" x14ac:dyDescent="0.35">
      <c r="A601" s="25" t="s">
        <v>676</v>
      </c>
      <c r="B601" t="s">
        <v>675</v>
      </c>
      <c r="C601" t="s">
        <v>1323</v>
      </c>
    </row>
    <row r="602" spans="1:3" hidden="1" x14ac:dyDescent="0.35">
      <c r="A602" s="25" t="s">
        <v>674</v>
      </c>
      <c r="B602" t="s">
        <v>673</v>
      </c>
      <c r="C602" t="s">
        <v>1323</v>
      </c>
    </row>
    <row r="603" spans="1:3" hidden="1" x14ac:dyDescent="0.35">
      <c r="A603" s="25" t="s">
        <v>672</v>
      </c>
      <c r="B603" t="s">
        <v>671</v>
      </c>
      <c r="C603" t="s">
        <v>1323</v>
      </c>
    </row>
    <row r="604" spans="1:3" hidden="1" x14ac:dyDescent="0.35">
      <c r="A604" s="25" t="s">
        <v>630</v>
      </c>
      <c r="B604" t="s">
        <v>611</v>
      </c>
      <c r="C604" t="s">
        <v>1323</v>
      </c>
    </row>
    <row r="605" spans="1:3" hidden="1" x14ac:dyDescent="0.35">
      <c r="A605" s="25" t="s">
        <v>629</v>
      </c>
      <c r="B605" t="s">
        <v>626</v>
      </c>
      <c r="C605" t="s">
        <v>1323</v>
      </c>
    </row>
    <row r="606" spans="1:3" hidden="1" x14ac:dyDescent="0.35">
      <c r="A606" s="25" t="s">
        <v>628</v>
      </c>
      <c r="B606" t="s">
        <v>626</v>
      </c>
      <c r="C606" t="s">
        <v>1323</v>
      </c>
    </row>
    <row r="607" spans="1:3" hidden="1" x14ac:dyDescent="0.35">
      <c r="A607" s="25" t="s">
        <v>627</v>
      </c>
      <c r="B607" t="s">
        <v>626</v>
      </c>
      <c r="C607" t="s">
        <v>1323</v>
      </c>
    </row>
    <row r="608" spans="1:3" hidden="1" x14ac:dyDescent="0.35">
      <c r="A608" s="25" t="s">
        <v>610</v>
      </c>
      <c r="B608" t="s">
        <v>609</v>
      </c>
      <c r="C608" t="s">
        <v>1323</v>
      </c>
    </row>
    <row r="609" spans="1:3" hidden="1" x14ac:dyDescent="0.35">
      <c r="A609" s="25" t="s">
        <v>526</v>
      </c>
      <c r="B609" t="s">
        <v>525</v>
      </c>
      <c r="C609" t="s">
        <v>1323</v>
      </c>
    </row>
    <row r="610" spans="1:3" hidden="1" x14ac:dyDescent="0.35">
      <c r="A610" s="25" t="s">
        <v>521</v>
      </c>
      <c r="B610" t="s">
        <v>520</v>
      </c>
      <c r="C610" t="s">
        <v>1323</v>
      </c>
    </row>
    <row r="611" spans="1:3" hidden="1" x14ac:dyDescent="0.35">
      <c r="A611" s="25" t="s">
        <v>519</v>
      </c>
      <c r="B611" t="s">
        <v>518</v>
      </c>
      <c r="C611" t="s">
        <v>1323</v>
      </c>
    </row>
    <row r="612" spans="1:3" hidden="1" x14ac:dyDescent="0.35">
      <c r="A612" s="25" t="s">
        <v>517</v>
      </c>
      <c r="B612" t="s">
        <v>516</v>
      </c>
      <c r="C612" t="s">
        <v>1323</v>
      </c>
    </row>
    <row r="613" spans="1:3" hidden="1" x14ac:dyDescent="0.35">
      <c r="A613" s="25" t="s">
        <v>515</v>
      </c>
      <c r="B613" t="s">
        <v>514</v>
      </c>
      <c r="C613" t="s">
        <v>1323</v>
      </c>
    </row>
    <row r="614" spans="1:3" hidden="1" x14ac:dyDescent="0.35">
      <c r="A614" s="25" t="s">
        <v>483</v>
      </c>
      <c r="B614" t="s">
        <v>481</v>
      </c>
      <c r="C614" t="s">
        <v>1323</v>
      </c>
    </row>
    <row r="615" spans="1:3" hidden="1" x14ac:dyDescent="0.35">
      <c r="A615" s="25" t="s">
        <v>482</v>
      </c>
      <c r="B615" t="s">
        <v>481</v>
      </c>
      <c r="C615" t="s">
        <v>1323</v>
      </c>
    </row>
    <row r="616" spans="1:3" hidden="1" x14ac:dyDescent="0.35">
      <c r="A616" s="25" t="s">
        <v>480</v>
      </c>
      <c r="B616" t="s">
        <v>477</v>
      </c>
      <c r="C616" t="s">
        <v>1323</v>
      </c>
    </row>
    <row r="617" spans="1:3" hidden="1" x14ac:dyDescent="0.35">
      <c r="A617" s="25" t="s">
        <v>478</v>
      </c>
      <c r="B617" t="s">
        <v>477</v>
      </c>
      <c r="C617" t="s">
        <v>1323</v>
      </c>
    </row>
    <row r="618" spans="1:3" hidden="1" x14ac:dyDescent="0.35">
      <c r="A618" s="25" t="s">
        <v>431</v>
      </c>
      <c r="B618" t="s">
        <v>430</v>
      </c>
      <c r="C618" t="s">
        <v>1323</v>
      </c>
    </row>
    <row r="619" spans="1:3" hidden="1" x14ac:dyDescent="0.35">
      <c r="A619" s="25" t="s">
        <v>380</v>
      </c>
      <c r="B619" t="s">
        <v>378</v>
      </c>
      <c r="C619" t="s">
        <v>1323</v>
      </c>
    </row>
    <row r="620" spans="1:3" hidden="1" x14ac:dyDescent="0.35">
      <c r="A620" s="25" t="s">
        <v>379</v>
      </c>
      <c r="B620" t="s">
        <v>378</v>
      </c>
      <c r="C620" t="s">
        <v>1323</v>
      </c>
    </row>
    <row r="621" spans="1:3" hidden="1" x14ac:dyDescent="0.35">
      <c r="A621" s="25" t="s">
        <v>354</v>
      </c>
      <c r="B621" t="s">
        <v>353</v>
      </c>
      <c r="C621" t="s">
        <v>1323</v>
      </c>
    </row>
    <row r="622" spans="1:3" hidden="1" x14ac:dyDescent="0.35">
      <c r="A622" s="25" t="s">
        <v>286</v>
      </c>
      <c r="B622" t="s">
        <v>284</v>
      </c>
      <c r="C622" t="s">
        <v>1323</v>
      </c>
    </row>
    <row r="623" spans="1:3" hidden="1" x14ac:dyDescent="0.35">
      <c r="A623" s="25" t="s">
        <v>285</v>
      </c>
      <c r="B623" t="s">
        <v>284</v>
      </c>
      <c r="C623" t="s">
        <v>1323</v>
      </c>
    </row>
    <row r="624" spans="1:3" hidden="1" x14ac:dyDescent="0.35">
      <c r="A624" s="25" t="s">
        <v>283</v>
      </c>
      <c r="B624" t="s">
        <v>282</v>
      </c>
      <c r="C624" t="s">
        <v>1323</v>
      </c>
    </row>
    <row r="625" spans="1:3" hidden="1" x14ac:dyDescent="0.35">
      <c r="A625" s="25" t="s">
        <v>275</v>
      </c>
      <c r="B625" t="s">
        <v>274</v>
      </c>
      <c r="C625" t="s">
        <v>1323</v>
      </c>
    </row>
    <row r="626" spans="1:3" hidden="1" x14ac:dyDescent="0.35">
      <c r="A626" s="25" t="s">
        <v>263</v>
      </c>
      <c r="B626" t="s">
        <v>260</v>
      </c>
      <c r="C626" t="s">
        <v>1323</v>
      </c>
    </row>
    <row r="627" spans="1:3" hidden="1" x14ac:dyDescent="0.35">
      <c r="A627" s="25" t="s">
        <v>262</v>
      </c>
      <c r="B627" t="s">
        <v>260</v>
      </c>
      <c r="C627" t="s">
        <v>1323</v>
      </c>
    </row>
    <row r="628" spans="1:3" hidden="1" x14ac:dyDescent="0.35">
      <c r="A628" s="25" t="s">
        <v>261</v>
      </c>
      <c r="B628" t="s">
        <v>260</v>
      </c>
      <c r="C628" t="s">
        <v>1323</v>
      </c>
    </row>
    <row r="629" spans="1:3" hidden="1" x14ac:dyDescent="0.35">
      <c r="A629" s="25" t="s">
        <v>243</v>
      </c>
      <c r="B629" t="s">
        <v>241</v>
      </c>
      <c r="C629" t="s">
        <v>1323</v>
      </c>
    </row>
    <row r="630" spans="1:3" hidden="1" x14ac:dyDescent="0.35">
      <c r="A630" s="25" t="s">
        <v>242</v>
      </c>
      <c r="B630" t="s">
        <v>241</v>
      </c>
      <c r="C630" t="s">
        <v>1323</v>
      </c>
    </row>
    <row r="631" spans="1:3" hidden="1" x14ac:dyDescent="0.35">
      <c r="A631" s="25" t="s">
        <v>231</v>
      </c>
      <c r="B631" t="s">
        <v>229</v>
      </c>
      <c r="C631" t="s">
        <v>1323</v>
      </c>
    </row>
    <row r="632" spans="1:3" hidden="1" x14ac:dyDescent="0.35">
      <c r="A632" s="25" t="s">
        <v>230</v>
      </c>
      <c r="B632" t="s">
        <v>229</v>
      </c>
      <c r="C632" t="s">
        <v>1323</v>
      </c>
    </row>
    <row r="633" spans="1:3" hidden="1" x14ac:dyDescent="0.35">
      <c r="A633" s="25" t="s">
        <v>206</v>
      </c>
      <c r="B633" t="s">
        <v>205</v>
      </c>
      <c r="C633" t="s">
        <v>1323</v>
      </c>
    </row>
    <row r="634" spans="1:3" hidden="1" x14ac:dyDescent="0.35">
      <c r="A634" s="25" t="s">
        <v>195</v>
      </c>
      <c r="B634" t="s">
        <v>194</v>
      </c>
      <c r="C634" t="s">
        <v>1323</v>
      </c>
    </row>
    <row r="635" spans="1:3" hidden="1" x14ac:dyDescent="0.35">
      <c r="A635" s="25" t="s">
        <v>154</v>
      </c>
      <c r="B635" t="s">
        <v>152</v>
      </c>
      <c r="C635" t="s">
        <v>1323</v>
      </c>
    </row>
    <row r="636" spans="1:3" hidden="1" x14ac:dyDescent="0.35">
      <c r="A636" s="25" t="s">
        <v>153</v>
      </c>
      <c r="B636" t="s">
        <v>152</v>
      </c>
      <c r="C636" t="s">
        <v>1323</v>
      </c>
    </row>
    <row r="637" spans="1:3" hidden="1" x14ac:dyDescent="0.35">
      <c r="A637" s="25" t="s">
        <v>145</v>
      </c>
      <c r="B637" t="s">
        <v>142</v>
      </c>
      <c r="C637" t="s">
        <v>1323</v>
      </c>
    </row>
    <row r="638" spans="1:3" hidden="1" x14ac:dyDescent="0.35">
      <c r="A638" s="25" t="s">
        <v>144</v>
      </c>
      <c r="B638" t="s">
        <v>142</v>
      </c>
      <c r="C638" t="s">
        <v>1323</v>
      </c>
    </row>
    <row r="639" spans="1:3" hidden="1" x14ac:dyDescent="0.35">
      <c r="A639" s="25" t="s">
        <v>143</v>
      </c>
      <c r="B639" t="s">
        <v>142</v>
      </c>
      <c r="C639" t="s">
        <v>1323</v>
      </c>
    </row>
    <row r="640" spans="1:3" hidden="1" x14ac:dyDescent="0.35">
      <c r="A640" s="25" t="s">
        <v>128</v>
      </c>
      <c r="B640" t="s">
        <v>127</v>
      </c>
      <c r="C640" t="s">
        <v>1323</v>
      </c>
    </row>
    <row r="641" spans="1:3" hidden="1" x14ac:dyDescent="0.35">
      <c r="A641" s="25" t="s">
        <v>126</v>
      </c>
      <c r="B641" t="s">
        <v>125</v>
      </c>
      <c r="C641" t="s">
        <v>1323</v>
      </c>
    </row>
    <row r="642" spans="1:3" hidden="1" x14ac:dyDescent="0.35">
      <c r="A642" s="25" t="s">
        <v>104</v>
      </c>
      <c r="B642" t="s">
        <v>103</v>
      </c>
      <c r="C642" t="s">
        <v>1323</v>
      </c>
    </row>
    <row r="643" spans="1:3" hidden="1" x14ac:dyDescent="0.35">
      <c r="A643" s="25" t="s">
        <v>94</v>
      </c>
      <c r="B643" t="s">
        <v>93</v>
      </c>
      <c r="C643" t="s">
        <v>1323</v>
      </c>
    </row>
    <row r="644" spans="1:3" hidden="1" x14ac:dyDescent="0.35">
      <c r="A644" s="25" t="s">
        <v>90</v>
      </c>
      <c r="B644" t="s">
        <v>89</v>
      </c>
      <c r="C644" t="s">
        <v>1323</v>
      </c>
    </row>
    <row r="645" spans="1:3" hidden="1" x14ac:dyDescent="0.35">
      <c r="A645" s="25" t="s">
        <v>61</v>
      </c>
      <c r="B645" t="s">
        <v>57</v>
      </c>
      <c r="C645" t="s">
        <v>1323</v>
      </c>
    </row>
    <row r="646" spans="1:3" hidden="1" x14ac:dyDescent="0.35">
      <c r="A646" s="25" t="s">
        <v>60</v>
      </c>
      <c r="B646" t="s">
        <v>57</v>
      </c>
      <c r="C646" t="s">
        <v>1323</v>
      </c>
    </row>
    <row r="647" spans="1:3" hidden="1" x14ac:dyDescent="0.35">
      <c r="A647" s="25" t="s">
        <v>59</v>
      </c>
      <c r="B647" t="s">
        <v>57</v>
      </c>
      <c r="C647" t="s">
        <v>1323</v>
      </c>
    </row>
    <row r="648" spans="1:3" hidden="1" x14ac:dyDescent="0.35">
      <c r="A648" s="25" t="s">
        <v>58</v>
      </c>
      <c r="B648" t="s">
        <v>57</v>
      </c>
      <c r="C648" t="s">
        <v>1323</v>
      </c>
    </row>
    <row r="649" spans="1:3" hidden="1" x14ac:dyDescent="0.35">
      <c r="A649" s="25" t="s">
        <v>640</v>
      </c>
      <c r="B649" t="s">
        <v>639</v>
      </c>
      <c r="C649" t="s">
        <v>1324</v>
      </c>
    </row>
    <row r="650" spans="1:3" hidden="1" x14ac:dyDescent="0.35">
      <c r="A650" s="25" t="s">
        <v>604</v>
      </c>
      <c r="B650" t="s">
        <v>602</v>
      </c>
      <c r="C650" t="s">
        <v>1324</v>
      </c>
    </row>
    <row r="651" spans="1:3" hidden="1" x14ac:dyDescent="0.35">
      <c r="A651" s="25" t="s">
        <v>603</v>
      </c>
      <c r="B651" t="s">
        <v>602</v>
      </c>
      <c r="C651" t="s">
        <v>1324</v>
      </c>
    </row>
    <row r="652" spans="1:3" hidden="1" x14ac:dyDescent="0.35">
      <c r="A652" s="25" t="s">
        <v>583</v>
      </c>
      <c r="B652" t="s">
        <v>582</v>
      </c>
      <c r="C652" t="s">
        <v>1324</v>
      </c>
    </row>
    <row r="653" spans="1:3" hidden="1" x14ac:dyDescent="0.35">
      <c r="A653" s="25" t="s">
        <v>581</v>
      </c>
      <c r="B653" t="s">
        <v>580</v>
      </c>
      <c r="C653" t="s">
        <v>1324</v>
      </c>
    </row>
    <row r="654" spans="1:3" hidden="1" x14ac:dyDescent="0.35">
      <c r="A654" s="25" t="s">
        <v>570</v>
      </c>
      <c r="B654" t="s">
        <v>566</v>
      </c>
      <c r="C654" t="s">
        <v>1324</v>
      </c>
    </row>
    <row r="655" spans="1:3" hidden="1" x14ac:dyDescent="0.35">
      <c r="A655" s="25" t="s">
        <v>569</v>
      </c>
      <c r="B655" t="s">
        <v>566</v>
      </c>
      <c r="C655" t="s">
        <v>1324</v>
      </c>
    </row>
    <row r="656" spans="1:3" hidden="1" x14ac:dyDescent="0.35">
      <c r="A656" s="25" t="s">
        <v>568</v>
      </c>
      <c r="B656" t="s">
        <v>566</v>
      </c>
      <c r="C656" t="s">
        <v>1324</v>
      </c>
    </row>
    <row r="657" spans="1:3" hidden="1" x14ac:dyDescent="0.35">
      <c r="A657" s="25" t="s">
        <v>548</v>
      </c>
      <c r="B657" t="s">
        <v>547</v>
      </c>
      <c r="C657" t="s">
        <v>1324</v>
      </c>
    </row>
    <row r="658" spans="1:3" hidden="1" x14ac:dyDescent="0.35">
      <c r="A658" s="25" t="s">
        <v>530</v>
      </c>
      <c r="B658" t="s">
        <v>529</v>
      </c>
      <c r="C658" t="s">
        <v>1324</v>
      </c>
    </row>
    <row r="659" spans="1:3" hidden="1" x14ac:dyDescent="0.35">
      <c r="A659" s="25" t="s">
        <v>499</v>
      </c>
      <c r="B659" t="s">
        <v>498</v>
      </c>
      <c r="C659" t="s">
        <v>1324</v>
      </c>
    </row>
    <row r="660" spans="1:3" hidden="1" x14ac:dyDescent="0.35">
      <c r="A660" s="25" t="s">
        <v>491</v>
      </c>
      <c r="B660" t="s">
        <v>488</v>
      </c>
      <c r="C660" t="s">
        <v>1324</v>
      </c>
    </row>
    <row r="661" spans="1:3" hidden="1" x14ac:dyDescent="0.35">
      <c r="A661" s="25" t="s">
        <v>490</v>
      </c>
      <c r="B661" t="s">
        <v>488</v>
      </c>
      <c r="C661" t="s">
        <v>1324</v>
      </c>
    </row>
    <row r="662" spans="1:3" hidden="1" x14ac:dyDescent="0.35">
      <c r="A662" s="25" t="s">
        <v>420</v>
      </c>
      <c r="B662" t="s">
        <v>418</v>
      </c>
      <c r="C662" t="s">
        <v>1324</v>
      </c>
    </row>
    <row r="663" spans="1:3" hidden="1" x14ac:dyDescent="0.35">
      <c r="A663" s="25" t="s">
        <v>327</v>
      </c>
      <c r="B663" t="s">
        <v>326</v>
      </c>
      <c r="C663" t="s">
        <v>1324</v>
      </c>
    </row>
    <row r="664" spans="1:3" hidden="1" x14ac:dyDescent="0.35">
      <c r="A664" s="25" t="s">
        <v>308</v>
      </c>
      <c r="B664" t="s">
        <v>307</v>
      </c>
      <c r="C664" t="s">
        <v>1324</v>
      </c>
    </row>
    <row r="665" spans="1:3" hidden="1" x14ac:dyDescent="0.35">
      <c r="A665" s="25" t="s">
        <v>294</v>
      </c>
      <c r="B665" t="s">
        <v>292</v>
      </c>
      <c r="C665" t="s">
        <v>1324</v>
      </c>
    </row>
    <row r="666" spans="1:3" hidden="1" x14ac:dyDescent="0.35">
      <c r="A666" s="25" t="s">
        <v>247</v>
      </c>
      <c r="B666" t="s">
        <v>246</v>
      </c>
      <c r="C666" t="s">
        <v>1324</v>
      </c>
    </row>
    <row r="667" spans="1:3" hidden="1" x14ac:dyDescent="0.35">
      <c r="A667" s="25" t="s">
        <v>198</v>
      </c>
      <c r="B667" t="s">
        <v>196</v>
      </c>
      <c r="C667" t="s">
        <v>1324</v>
      </c>
    </row>
    <row r="668" spans="1:3" hidden="1" x14ac:dyDescent="0.35">
      <c r="A668" s="25" t="s">
        <v>150</v>
      </c>
      <c r="B668" t="s">
        <v>146</v>
      </c>
      <c r="C668" t="s">
        <v>1324</v>
      </c>
    </row>
    <row r="669" spans="1:3" hidden="1" x14ac:dyDescent="0.35">
      <c r="A669" s="25" t="s">
        <v>71</v>
      </c>
      <c r="B669" t="s">
        <v>70</v>
      </c>
      <c r="C669" t="s">
        <v>1324</v>
      </c>
    </row>
    <row r="670" spans="1:3" hidden="1" x14ac:dyDescent="0.35">
      <c r="A670" s="25" t="s">
        <v>69</v>
      </c>
      <c r="B670" t="s">
        <v>68</v>
      </c>
      <c r="C670" t="s">
        <v>1324</v>
      </c>
    </row>
    <row r="671" spans="1:3" hidden="1" x14ac:dyDescent="0.35">
      <c r="A671" s="25" t="s">
        <v>372</v>
      </c>
      <c r="B671" t="s">
        <v>371</v>
      </c>
      <c r="C671" t="s">
        <v>1325</v>
      </c>
    </row>
  </sheetData>
  <autoFilter ref="A1:C671" xr:uid="{EE514506-889F-45C8-8A37-4713F54C303B}">
    <filterColumn colId="2">
      <filters>
        <filter val="B1, N1 M1_WTC"/>
        <filter val="B1, N1_WTC"/>
        <filter val="B1, N2, M2_WTC"/>
        <filter val="B1, N2, ST_WTC"/>
        <filter val="B1, N2_WTC"/>
        <filter val="B1, N3_WTC"/>
        <filter val="B1, N4_WTC"/>
        <filter val="B1_WTC"/>
      </filters>
    </filterColumn>
    <sortState xmlns:xlrd2="http://schemas.microsoft.com/office/spreadsheetml/2017/richdata2" ref="A2:C671">
      <sortCondition ref="C1:C671"/>
    </sortState>
  </autoFilter>
  <conditionalFormatting sqref="A1:A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3A98-C87D-4016-BF7E-2306E1CA171C}">
  <dimension ref="A3:C697"/>
  <sheetViews>
    <sheetView topLeftCell="A659" workbookViewId="0">
      <selection activeCell="C4" sqref="A4:C696"/>
    </sheetView>
  </sheetViews>
  <sheetFormatPr baseColWidth="10" defaultRowHeight="14.5" x14ac:dyDescent="0.35"/>
  <cols>
    <col min="1" max="1" width="14.6328125" bestFit="1" customWidth="1"/>
    <col min="2" max="2" width="56" bestFit="1" customWidth="1"/>
    <col min="3" max="3" width="32.7265625" bestFit="1" customWidth="1"/>
  </cols>
  <sheetData>
    <row r="3" spans="1:3" x14ac:dyDescent="0.35">
      <c r="A3" s="24" t="s">
        <v>1266</v>
      </c>
      <c r="B3" s="24" t="s">
        <v>1264</v>
      </c>
      <c r="C3" s="24" t="s">
        <v>1269</v>
      </c>
    </row>
    <row r="4" spans="1:3" x14ac:dyDescent="0.35">
      <c r="A4">
        <v>102826</v>
      </c>
      <c r="B4" t="s">
        <v>462</v>
      </c>
      <c r="C4" t="s">
        <v>1357</v>
      </c>
    </row>
    <row r="5" spans="1:3" x14ac:dyDescent="0.35">
      <c r="A5">
        <v>103003</v>
      </c>
      <c r="B5" t="s">
        <v>334</v>
      </c>
      <c r="C5" t="s">
        <v>1342</v>
      </c>
    </row>
    <row r="6" spans="1:3" x14ac:dyDescent="0.35">
      <c r="A6" t="s">
        <v>1254</v>
      </c>
      <c r="B6" t="s">
        <v>841</v>
      </c>
      <c r="C6" t="s">
        <v>1315</v>
      </c>
    </row>
    <row r="7" spans="1:3" x14ac:dyDescent="0.35">
      <c r="A7" t="s">
        <v>1253</v>
      </c>
      <c r="B7" t="s">
        <v>1252</v>
      </c>
      <c r="C7" t="s">
        <v>1356</v>
      </c>
    </row>
    <row r="8" spans="1:3" x14ac:dyDescent="0.35">
      <c r="A8" t="s">
        <v>1251</v>
      </c>
      <c r="B8" t="s">
        <v>1250</v>
      </c>
      <c r="C8" t="s">
        <v>1357</v>
      </c>
    </row>
    <row r="9" spans="1:3" x14ac:dyDescent="0.35">
      <c r="A9" t="s">
        <v>1249</v>
      </c>
      <c r="B9" t="s">
        <v>1248</v>
      </c>
      <c r="C9" t="s">
        <v>1321</v>
      </c>
    </row>
    <row r="10" spans="1:3" x14ac:dyDescent="0.35">
      <c r="A10" t="s">
        <v>1247</v>
      </c>
      <c r="B10" t="s">
        <v>1246</v>
      </c>
      <c r="C10" t="s">
        <v>1338</v>
      </c>
    </row>
    <row r="11" spans="1:3" x14ac:dyDescent="0.35">
      <c r="A11" t="s">
        <v>1245</v>
      </c>
      <c r="B11" t="s">
        <v>1244</v>
      </c>
      <c r="C11" t="s">
        <v>1338</v>
      </c>
    </row>
    <row r="12" spans="1:3" x14ac:dyDescent="0.35">
      <c r="A12" t="s">
        <v>1243</v>
      </c>
      <c r="B12" t="s">
        <v>1242</v>
      </c>
      <c r="C12" t="s">
        <v>1315</v>
      </c>
    </row>
    <row r="13" spans="1:3" x14ac:dyDescent="0.35">
      <c r="A13" t="s">
        <v>1241</v>
      </c>
      <c r="B13" t="s">
        <v>1240</v>
      </c>
      <c r="C13" t="s">
        <v>1314</v>
      </c>
    </row>
    <row r="14" spans="1:3" x14ac:dyDescent="0.35">
      <c r="A14" t="s">
        <v>1239</v>
      </c>
      <c r="B14" t="s">
        <v>1238</v>
      </c>
      <c r="C14" t="s">
        <v>1315</v>
      </c>
    </row>
    <row r="15" spans="1:3" x14ac:dyDescent="0.35">
      <c r="A15" t="s">
        <v>1237</v>
      </c>
      <c r="B15" t="s">
        <v>1236</v>
      </c>
      <c r="C15" t="s">
        <v>1315</v>
      </c>
    </row>
    <row r="16" spans="1:3" x14ac:dyDescent="0.35">
      <c r="A16" t="s">
        <v>1235</v>
      </c>
      <c r="B16" t="s">
        <v>1234</v>
      </c>
      <c r="C16" t="s">
        <v>1315</v>
      </c>
    </row>
    <row r="17" spans="1:3" x14ac:dyDescent="0.35">
      <c r="A17" t="s">
        <v>1233</v>
      </c>
      <c r="B17" t="s">
        <v>1232</v>
      </c>
      <c r="C17" t="s">
        <v>1315</v>
      </c>
    </row>
    <row r="18" spans="1:3" x14ac:dyDescent="0.35">
      <c r="A18" t="s">
        <v>1229</v>
      </c>
      <c r="B18" t="s">
        <v>1228</v>
      </c>
      <c r="C18" t="s">
        <v>1340</v>
      </c>
    </row>
    <row r="19" spans="1:3" x14ac:dyDescent="0.35">
      <c r="B19" t="s">
        <v>1231</v>
      </c>
      <c r="C19" t="s">
        <v>1340</v>
      </c>
    </row>
    <row r="20" spans="1:3" x14ac:dyDescent="0.35">
      <c r="B20" t="s">
        <v>1230</v>
      </c>
      <c r="C20" t="s">
        <v>1340</v>
      </c>
    </row>
    <row r="21" spans="1:3" x14ac:dyDescent="0.35">
      <c r="A21" t="s">
        <v>1227</v>
      </c>
      <c r="B21" t="s">
        <v>1226</v>
      </c>
      <c r="C21" t="s">
        <v>1347</v>
      </c>
    </row>
    <row r="22" spans="1:3" x14ac:dyDescent="0.35">
      <c r="A22" t="s">
        <v>1225</v>
      </c>
      <c r="B22" t="s">
        <v>1224</v>
      </c>
      <c r="C22" t="s">
        <v>1345</v>
      </c>
    </row>
    <row r="23" spans="1:3" x14ac:dyDescent="0.35">
      <c r="A23" t="s">
        <v>1223</v>
      </c>
      <c r="B23" t="s">
        <v>1222</v>
      </c>
      <c r="C23" t="s">
        <v>1336</v>
      </c>
    </row>
    <row r="24" spans="1:3" x14ac:dyDescent="0.35">
      <c r="A24" t="s">
        <v>1221</v>
      </c>
      <c r="B24" t="s">
        <v>1220</v>
      </c>
      <c r="C24" t="s">
        <v>1336</v>
      </c>
    </row>
    <row r="25" spans="1:3" x14ac:dyDescent="0.35">
      <c r="A25" t="s">
        <v>1219</v>
      </c>
      <c r="B25" t="s">
        <v>1218</v>
      </c>
      <c r="C25" t="s">
        <v>1336</v>
      </c>
    </row>
    <row r="26" spans="1:3" x14ac:dyDescent="0.35">
      <c r="A26" t="s">
        <v>1217</v>
      </c>
      <c r="B26" t="s">
        <v>1216</v>
      </c>
      <c r="C26" t="s">
        <v>1347</v>
      </c>
    </row>
    <row r="27" spans="1:3" x14ac:dyDescent="0.35">
      <c r="A27" t="s">
        <v>1215</v>
      </c>
      <c r="B27" t="s">
        <v>1214</v>
      </c>
      <c r="C27" t="s">
        <v>1348</v>
      </c>
    </row>
    <row r="28" spans="1:3" x14ac:dyDescent="0.35">
      <c r="A28" t="s">
        <v>1213</v>
      </c>
      <c r="B28" t="s">
        <v>1212</v>
      </c>
      <c r="C28" t="s">
        <v>1349</v>
      </c>
    </row>
    <row r="29" spans="1:3" x14ac:dyDescent="0.35">
      <c r="A29" t="s">
        <v>1211</v>
      </c>
      <c r="B29" t="s">
        <v>1210</v>
      </c>
      <c r="C29" t="s">
        <v>1348</v>
      </c>
    </row>
    <row r="30" spans="1:3" x14ac:dyDescent="0.35">
      <c r="A30" t="s">
        <v>1209</v>
      </c>
      <c r="B30" t="s">
        <v>1208</v>
      </c>
      <c r="C30" t="s">
        <v>1315</v>
      </c>
    </row>
    <row r="31" spans="1:3" x14ac:dyDescent="0.35">
      <c r="A31" t="s">
        <v>1204</v>
      </c>
      <c r="B31" t="s">
        <v>1207</v>
      </c>
      <c r="C31" t="s">
        <v>1348</v>
      </c>
    </row>
    <row r="32" spans="1:3" x14ac:dyDescent="0.35">
      <c r="B32" t="s">
        <v>1205</v>
      </c>
      <c r="C32" t="s">
        <v>1348</v>
      </c>
    </row>
    <row r="33" spans="1:3" x14ac:dyDescent="0.35">
      <c r="B33" t="s">
        <v>1206</v>
      </c>
      <c r="C33" t="s">
        <v>1348</v>
      </c>
    </row>
    <row r="34" spans="1:3" x14ac:dyDescent="0.35">
      <c r="B34" t="s">
        <v>1203</v>
      </c>
      <c r="C34" t="s">
        <v>1348</v>
      </c>
    </row>
    <row r="35" spans="1:3" x14ac:dyDescent="0.35">
      <c r="A35" t="s">
        <v>1202</v>
      </c>
      <c r="B35" t="s">
        <v>1201</v>
      </c>
      <c r="C35" t="s">
        <v>1345</v>
      </c>
    </row>
    <row r="36" spans="1:3" x14ac:dyDescent="0.35">
      <c r="A36" t="s">
        <v>1200</v>
      </c>
      <c r="B36" t="s">
        <v>1199</v>
      </c>
      <c r="C36" t="s">
        <v>1340</v>
      </c>
    </row>
    <row r="37" spans="1:3" x14ac:dyDescent="0.35">
      <c r="A37" t="s">
        <v>1198</v>
      </c>
      <c r="B37" t="s">
        <v>1197</v>
      </c>
      <c r="C37" t="s">
        <v>1347</v>
      </c>
    </row>
    <row r="38" spans="1:3" x14ac:dyDescent="0.35">
      <c r="A38" t="s">
        <v>1196</v>
      </c>
      <c r="B38" t="s">
        <v>1195</v>
      </c>
      <c r="C38" t="s">
        <v>1349</v>
      </c>
    </row>
    <row r="39" spans="1:3" x14ac:dyDescent="0.35">
      <c r="A39" t="s">
        <v>1194</v>
      </c>
      <c r="B39" t="s">
        <v>1193</v>
      </c>
      <c r="C39" t="s">
        <v>1348</v>
      </c>
    </row>
    <row r="40" spans="1:3" x14ac:dyDescent="0.35">
      <c r="A40" t="s">
        <v>1192</v>
      </c>
      <c r="B40" t="s">
        <v>1191</v>
      </c>
      <c r="C40" t="s">
        <v>1347</v>
      </c>
    </row>
    <row r="41" spans="1:3" x14ac:dyDescent="0.35">
      <c r="A41" t="s">
        <v>1190</v>
      </c>
      <c r="B41" t="s">
        <v>1189</v>
      </c>
      <c r="C41" t="s">
        <v>1345</v>
      </c>
    </row>
    <row r="42" spans="1:3" x14ac:dyDescent="0.35">
      <c r="A42" t="s">
        <v>1188</v>
      </c>
      <c r="B42" t="s">
        <v>1187</v>
      </c>
      <c r="C42" t="s">
        <v>1349</v>
      </c>
    </row>
    <row r="43" spans="1:3" x14ac:dyDescent="0.35">
      <c r="A43" t="s">
        <v>1186</v>
      </c>
      <c r="B43" t="s">
        <v>1185</v>
      </c>
      <c r="C43" t="s">
        <v>1315</v>
      </c>
    </row>
    <row r="44" spans="1:3" x14ac:dyDescent="0.35">
      <c r="A44" t="s">
        <v>1184</v>
      </c>
      <c r="B44" t="s">
        <v>1183</v>
      </c>
      <c r="C44" t="s">
        <v>1345</v>
      </c>
    </row>
    <row r="45" spans="1:3" x14ac:dyDescent="0.35">
      <c r="A45" t="s">
        <v>1182</v>
      </c>
      <c r="B45" t="s">
        <v>1046</v>
      </c>
      <c r="C45" t="s">
        <v>1315</v>
      </c>
    </row>
    <row r="46" spans="1:3" x14ac:dyDescent="0.35">
      <c r="A46" t="s">
        <v>1180</v>
      </c>
      <c r="B46" t="s">
        <v>1181</v>
      </c>
      <c r="C46" t="s">
        <v>1321</v>
      </c>
    </row>
    <row r="47" spans="1:3" x14ac:dyDescent="0.35">
      <c r="B47" t="s">
        <v>1179</v>
      </c>
      <c r="C47" t="s">
        <v>1321</v>
      </c>
    </row>
    <row r="48" spans="1:3" x14ac:dyDescent="0.35">
      <c r="A48" t="s">
        <v>1178</v>
      </c>
      <c r="B48" t="s">
        <v>1177</v>
      </c>
      <c r="C48" t="s">
        <v>1314</v>
      </c>
    </row>
    <row r="49" spans="1:3" x14ac:dyDescent="0.35">
      <c r="A49" t="s">
        <v>1176</v>
      </c>
      <c r="B49" t="s">
        <v>1175</v>
      </c>
      <c r="C49" t="s">
        <v>1315</v>
      </c>
    </row>
    <row r="50" spans="1:3" x14ac:dyDescent="0.35">
      <c r="A50" t="s">
        <v>1174</v>
      </c>
      <c r="B50" t="s">
        <v>1173</v>
      </c>
      <c r="C50" t="s">
        <v>1315</v>
      </c>
    </row>
    <row r="51" spans="1:3" x14ac:dyDescent="0.35">
      <c r="A51" t="s">
        <v>1172</v>
      </c>
      <c r="B51" t="s">
        <v>1171</v>
      </c>
      <c r="C51" t="s">
        <v>1321</v>
      </c>
    </row>
    <row r="52" spans="1:3" x14ac:dyDescent="0.35">
      <c r="A52" t="s">
        <v>1170</v>
      </c>
      <c r="B52" t="s">
        <v>1169</v>
      </c>
      <c r="C52" t="s">
        <v>1315</v>
      </c>
    </row>
    <row r="53" spans="1:3" x14ac:dyDescent="0.35">
      <c r="A53" t="s">
        <v>1168</v>
      </c>
      <c r="B53" t="s">
        <v>1167</v>
      </c>
      <c r="C53" t="s">
        <v>1314</v>
      </c>
    </row>
    <row r="54" spans="1:3" x14ac:dyDescent="0.35">
      <c r="A54" t="s">
        <v>1166</v>
      </c>
      <c r="B54" t="s">
        <v>1165</v>
      </c>
      <c r="C54" t="s">
        <v>1315</v>
      </c>
    </row>
    <row r="55" spans="1:3" x14ac:dyDescent="0.35">
      <c r="A55" t="s">
        <v>1164</v>
      </c>
      <c r="B55" t="s">
        <v>1163</v>
      </c>
      <c r="C55" t="s">
        <v>1315</v>
      </c>
    </row>
    <row r="56" spans="1:3" x14ac:dyDescent="0.35">
      <c r="A56" t="s">
        <v>1162</v>
      </c>
      <c r="B56" t="s">
        <v>1046</v>
      </c>
      <c r="C56" t="s">
        <v>1315</v>
      </c>
    </row>
    <row r="57" spans="1:3" x14ac:dyDescent="0.35">
      <c r="A57" t="s">
        <v>1161</v>
      </c>
      <c r="B57" t="s">
        <v>1160</v>
      </c>
      <c r="C57" t="s">
        <v>1315</v>
      </c>
    </row>
    <row r="58" spans="1:3" x14ac:dyDescent="0.35">
      <c r="A58" t="s">
        <v>1159</v>
      </c>
      <c r="B58" t="s">
        <v>1158</v>
      </c>
      <c r="C58" t="s">
        <v>1315</v>
      </c>
    </row>
    <row r="59" spans="1:3" x14ac:dyDescent="0.35">
      <c r="A59" t="s">
        <v>1157</v>
      </c>
      <c r="B59" t="s">
        <v>1156</v>
      </c>
      <c r="C59" t="s">
        <v>1315</v>
      </c>
    </row>
    <row r="60" spans="1:3" x14ac:dyDescent="0.35">
      <c r="A60" t="s">
        <v>1155</v>
      </c>
      <c r="B60" t="s">
        <v>1046</v>
      </c>
      <c r="C60" t="s">
        <v>1315</v>
      </c>
    </row>
    <row r="61" spans="1:3" x14ac:dyDescent="0.35">
      <c r="A61" t="s">
        <v>1154</v>
      </c>
      <c r="B61" t="s">
        <v>1153</v>
      </c>
      <c r="C61" t="s">
        <v>1315</v>
      </c>
    </row>
    <row r="62" spans="1:3" x14ac:dyDescent="0.35">
      <c r="A62" t="s">
        <v>1152</v>
      </c>
      <c r="B62" t="s">
        <v>1046</v>
      </c>
      <c r="C62" t="s">
        <v>1315</v>
      </c>
    </row>
    <row r="63" spans="1:3" x14ac:dyDescent="0.35">
      <c r="A63" t="s">
        <v>1151</v>
      </c>
      <c r="B63" t="s">
        <v>1150</v>
      </c>
      <c r="C63" t="s">
        <v>1315</v>
      </c>
    </row>
    <row r="64" spans="1:3" x14ac:dyDescent="0.35">
      <c r="A64" t="s">
        <v>1149</v>
      </c>
      <c r="B64" t="s">
        <v>1148</v>
      </c>
      <c r="C64" t="s">
        <v>1315</v>
      </c>
    </row>
    <row r="65" spans="1:3" x14ac:dyDescent="0.35">
      <c r="A65" t="s">
        <v>1147</v>
      </c>
      <c r="B65" t="s">
        <v>1146</v>
      </c>
      <c r="C65" t="s">
        <v>1315</v>
      </c>
    </row>
    <row r="66" spans="1:3" x14ac:dyDescent="0.35">
      <c r="A66" t="s">
        <v>1145</v>
      </c>
      <c r="B66" t="s">
        <v>1144</v>
      </c>
      <c r="C66" t="s">
        <v>1315</v>
      </c>
    </row>
    <row r="67" spans="1:3" x14ac:dyDescent="0.35">
      <c r="A67" t="s">
        <v>1143</v>
      </c>
      <c r="B67" t="s">
        <v>1142</v>
      </c>
      <c r="C67" t="s">
        <v>1315</v>
      </c>
    </row>
    <row r="68" spans="1:3" x14ac:dyDescent="0.35">
      <c r="A68" t="s">
        <v>1141</v>
      </c>
      <c r="B68" t="s">
        <v>1140</v>
      </c>
      <c r="C68" t="s">
        <v>1315</v>
      </c>
    </row>
    <row r="69" spans="1:3" x14ac:dyDescent="0.35">
      <c r="A69" t="s">
        <v>1139</v>
      </c>
      <c r="B69" t="s">
        <v>1138</v>
      </c>
      <c r="C69" t="s">
        <v>1315</v>
      </c>
    </row>
    <row r="70" spans="1:3" x14ac:dyDescent="0.35">
      <c r="A70" t="s">
        <v>1137</v>
      </c>
      <c r="B70" t="s">
        <v>1136</v>
      </c>
      <c r="C70" t="s">
        <v>1338</v>
      </c>
    </row>
    <row r="71" spans="1:3" x14ac:dyDescent="0.35">
      <c r="A71" t="s">
        <v>1135</v>
      </c>
      <c r="B71" t="s">
        <v>1134</v>
      </c>
      <c r="C71" t="s">
        <v>1321</v>
      </c>
    </row>
    <row r="72" spans="1:3" x14ac:dyDescent="0.35">
      <c r="A72" t="s">
        <v>1133</v>
      </c>
      <c r="B72" t="s">
        <v>1132</v>
      </c>
      <c r="C72" t="s">
        <v>1321</v>
      </c>
    </row>
    <row r="73" spans="1:3" x14ac:dyDescent="0.35">
      <c r="A73" t="s">
        <v>1131</v>
      </c>
      <c r="B73" t="s">
        <v>863</v>
      </c>
      <c r="C73" t="s">
        <v>1321</v>
      </c>
    </row>
    <row r="74" spans="1:3" x14ac:dyDescent="0.35">
      <c r="A74" t="s">
        <v>1130</v>
      </c>
      <c r="B74" t="s">
        <v>1129</v>
      </c>
      <c r="C74" t="s">
        <v>1321</v>
      </c>
    </row>
    <row r="75" spans="1:3" x14ac:dyDescent="0.35">
      <c r="A75" t="s">
        <v>1128</v>
      </c>
      <c r="B75" t="s">
        <v>1127</v>
      </c>
      <c r="C75" t="s">
        <v>1359</v>
      </c>
    </row>
    <row r="76" spans="1:3" x14ac:dyDescent="0.35">
      <c r="A76" t="s">
        <v>1126</v>
      </c>
      <c r="B76" t="s">
        <v>1125</v>
      </c>
      <c r="C76" t="s">
        <v>1315</v>
      </c>
    </row>
    <row r="77" spans="1:3" x14ac:dyDescent="0.35">
      <c r="A77" t="s">
        <v>1124</v>
      </c>
      <c r="B77" t="s">
        <v>1123</v>
      </c>
      <c r="C77" t="s">
        <v>1321</v>
      </c>
    </row>
    <row r="78" spans="1:3" x14ac:dyDescent="0.35">
      <c r="A78" t="s">
        <v>1122</v>
      </c>
      <c r="B78" t="s">
        <v>1121</v>
      </c>
      <c r="C78" t="s">
        <v>1321</v>
      </c>
    </row>
    <row r="79" spans="1:3" x14ac:dyDescent="0.35">
      <c r="A79" t="s">
        <v>1120</v>
      </c>
      <c r="B79" t="s">
        <v>1119</v>
      </c>
      <c r="C79" t="s">
        <v>1321</v>
      </c>
    </row>
    <row r="80" spans="1:3" x14ac:dyDescent="0.35">
      <c r="A80" t="s">
        <v>1118</v>
      </c>
      <c r="B80" t="s">
        <v>1117</v>
      </c>
      <c r="C80" t="s">
        <v>1359</v>
      </c>
    </row>
    <row r="81" spans="1:3" x14ac:dyDescent="0.35">
      <c r="A81" t="s">
        <v>1116</v>
      </c>
      <c r="B81" t="s">
        <v>1115</v>
      </c>
      <c r="C81" t="s">
        <v>1321</v>
      </c>
    </row>
    <row r="82" spans="1:3" x14ac:dyDescent="0.35">
      <c r="A82" t="s">
        <v>1114</v>
      </c>
      <c r="B82" t="s">
        <v>1113</v>
      </c>
      <c r="C82" t="s">
        <v>1359</v>
      </c>
    </row>
    <row r="83" spans="1:3" x14ac:dyDescent="0.35">
      <c r="A83" t="s">
        <v>1112</v>
      </c>
      <c r="B83" t="s">
        <v>1110</v>
      </c>
      <c r="C83" t="s">
        <v>1317</v>
      </c>
    </row>
    <row r="84" spans="1:3" x14ac:dyDescent="0.35">
      <c r="A84" t="s">
        <v>1111</v>
      </c>
      <c r="B84" t="s">
        <v>1110</v>
      </c>
      <c r="C84" t="s">
        <v>1317</v>
      </c>
    </row>
    <row r="85" spans="1:3" x14ac:dyDescent="0.35">
      <c r="A85" t="s">
        <v>1109</v>
      </c>
      <c r="B85" t="s">
        <v>1108</v>
      </c>
      <c r="C85" t="s">
        <v>1357</v>
      </c>
    </row>
    <row r="86" spans="1:3" x14ac:dyDescent="0.35">
      <c r="A86" t="s">
        <v>1107</v>
      </c>
      <c r="B86" t="s">
        <v>1106</v>
      </c>
      <c r="C86" t="s">
        <v>1317</v>
      </c>
    </row>
    <row r="87" spans="1:3" x14ac:dyDescent="0.35">
      <c r="A87" t="s">
        <v>1105</v>
      </c>
      <c r="B87" t="s">
        <v>1104</v>
      </c>
      <c r="C87" t="s">
        <v>1357</v>
      </c>
    </row>
    <row r="88" spans="1:3" x14ac:dyDescent="0.35">
      <c r="A88" t="s">
        <v>1103</v>
      </c>
      <c r="B88" t="s">
        <v>1102</v>
      </c>
      <c r="C88" t="s">
        <v>1354</v>
      </c>
    </row>
    <row r="89" spans="1:3" x14ac:dyDescent="0.35">
      <c r="A89" t="s">
        <v>1101</v>
      </c>
      <c r="B89" t="s">
        <v>1100</v>
      </c>
      <c r="C89" t="s">
        <v>1357</v>
      </c>
    </row>
    <row r="90" spans="1:3" x14ac:dyDescent="0.35">
      <c r="A90" t="s">
        <v>1098</v>
      </c>
      <c r="B90" t="s">
        <v>1097</v>
      </c>
      <c r="C90" t="s">
        <v>1339</v>
      </c>
    </row>
    <row r="91" spans="1:3" x14ac:dyDescent="0.35">
      <c r="B91" t="s">
        <v>1099</v>
      </c>
      <c r="C91" t="s">
        <v>1339</v>
      </c>
    </row>
    <row r="92" spans="1:3" x14ac:dyDescent="0.35">
      <c r="A92" t="s">
        <v>1096</v>
      </c>
      <c r="B92" t="s">
        <v>1095</v>
      </c>
      <c r="C92" t="s">
        <v>1315</v>
      </c>
    </row>
    <row r="93" spans="1:3" x14ac:dyDescent="0.35">
      <c r="A93" t="s">
        <v>1094</v>
      </c>
      <c r="B93" t="s">
        <v>1093</v>
      </c>
      <c r="C93" t="s">
        <v>1315</v>
      </c>
    </row>
    <row r="94" spans="1:3" x14ac:dyDescent="0.35">
      <c r="A94" t="s">
        <v>1092</v>
      </c>
      <c r="B94" t="s">
        <v>1091</v>
      </c>
      <c r="C94" t="s">
        <v>1360</v>
      </c>
    </row>
    <row r="95" spans="1:3" x14ac:dyDescent="0.35">
      <c r="A95" t="s">
        <v>1090</v>
      </c>
      <c r="B95" t="s">
        <v>1046</v>
      </c>
      <c r="C95" t="s">
        <v>1315</v>
      </c>
    </row>
    <row r="96" spans="1:3" x14ac:dyDescent="0.35">
      <c r="A96" t="s">
        <v>1089</v>
      </c>
      <c r="B96" t="s">
        <v>1046</v>
      </c>
      <c r="C96" t="s">
        <v>1315</v>
      </c>
    </row>
    <row r="97" spans="1:3" x14ac:dyDescent="0.35">
      <c r="A97" t="s">
        <v>1088</v>
      </c>
      <c r="B97" t="s">
        <v>1046</v>
      </c>
      <c r="C97" t="s">
        <v>1315</v>
      </c>
    </row>
    <row r="98" spans="1:3" x14ac:dyDescent="0.35">
      <c r="A98" t="s">
        <v>1087</v>
      </c>
      <c r="B98" t="s">
        <v>1046</v>
      </c>
      <c r="C98" t="s">
        <v>1315</v>
      </c>
    </row>
    <row r="99" spans="1:3" x14ac:dyDescent="0.35">
      <c r="A99" t="s">
        <v>1086</v>
      </c>
      <c r="B99" t="s">
        <v>1046</v>
      </c>
      <c r="C99" t="s">
        <v>1315</v>
      </c>
    </row>
    <row r="100" spans="1:3" x14ac:dyDescent="0.35">
      <c r="A100" t="s">
        <v>1085</v>
      </c>
      <c r="B100" t="s">
        <v>1046</v>
      </c>
      <c r="C100" t="s">
        <v>1315</v>
      </c>
    </row>
    <row r="101" spans="1:3" x14ac:dyDescent="0.35">
      <c r="A101" t="s">
        <v>1084</v>
      </c>
      <c r="B101" t="s">
        <v>1083</v>
      </c>
      <c r="C101" t="s">
        <v>1315</v>
      </c>
    </row>
    <row r="102" spans="1:3" x14ac:dyDescent="0.35">
      <c r="A102" t="s">
        <v>1082</v>
      </c>
      <c r="B102" t="s">
        <v>1081</v>
      </c>
      <c r="C102" t="s">
        <v>1315</v>
      </c>
    </row>
    <row r="103" spans="1:3" x14ac:dyDescent="0.35">
      <c r="A103" t="s">
        <v>1080</v>
      </c>
      <c r="B103" t="s">
        <v>1079</v>
      </c>
      <c r="C103" t="s">
        <v>1315</v>
      </c>
    </row>
    <row r="104" spans="1:3" x14ac:dyDescent="0.35">
      <c r="A104" t="s">
        <v>1078</v>
      </c>
      <c r="B104" t="s">
        <v>1077</v>
      </c>
      <c r="C104" t="s">
        <v>1315</v>
      </c>
    </row>
    <row r="105" spans="1:3" x14ac:dyDescent="0.35">
      <c r="A105" t="s">
        <v>1076</v>
      </c>
      <c r="B105" t="s">
        <v>1075</v>
      </c>
      <c r="C105" t="s">
        <v>1315</v>
      </c>
    </row>
    <row r="106" spans="1:3" x14ac:dyDescent="0.35">
      <c r="A106" t="s">
        <v>1074</v>
      </c>
      <c r="B106" t="s">
        <v>1073</v>
      </c>
      <c r="C106" t="s">
        <v>1315</v>
      </c>
    </row>
    <row r="107" spans="1:3" x14ac:dyDescent="0.35">
      <c r="A107" t="s">
        <v>1072</v>
      </c>
      <c r="B107" t="s">
        <v>1071</v>
      </c>
      <c r="C107" t="s">
        <v>1315</v>
      </c>
    </row>
    <row r="108" spans="1:3" x14ac:dyDescent="0.35">
      <c r="A108" t="s">
        <v>1070</v>
      </c>
      <c r="B108" t="s">
        <v>1068</v>
      </c>
      <c r="C108" t="s">
        <v>1315</v>
      </c>
    </row>
    <row r="109" spans="1:3" x14ac:dyDescent="0.35">
      <c r="A109" t="s">
        <v>1069</v>
      </c>
      <c r="B109" t="s">
        <v>1068</v>
      </c>
      <c r="C109" t="s">
        <v>1315</v>
      </c>
    </row>
    <row r="110" spans="1:3" x14ac:dyDescent="0.35">
      <c r="A110" t="s">
        <v>1067</v>
      </c>
      <c r="B110" t="s">
        <v>1066</v>
      </c>
      <c r="C110" t="s">
        <v>1315</v>
      </c>
    </row>
    <row r="111" spans="1:3" x14ac:dyDescent="0.35">
      <c r="A111" t="s">
        <v>1065</v>
      </c>
      <c r="B111" t="s">
        <v>1064</v>
      </c>
      <c r="C111" t="s">
        <v>1315</v>
      </c>
    </row>
    <row r="112" spans="1:3" x14ac:dyDescent="0.35">
      <c r="A112" t="s">
        <v>1063</v>
      </c>
      <c r="B112" t="s">
        <v>1060</v>
      </c>
      <c r="C112" t="s">
        <v>1315</v>
      </c>
    </row>
    <row r="113" spans="1:3" x14ac:dyDescent="0.35">
      <c r="A113" t="s">
        <v>1062</v>
      </c>
      <c r="B113" t="s">
        <v>1060</v>
      </c>
      <c r="C113" t="s">
        <v>1315</v>
      </c>
    </row>
    <row r="114" spans="1:3" x14ac:dyDescent="0.35">
      <c r="A114" t="s">
        <v>1061</v>
      </c>
      <c r="B114" t="s">
        <v>1060</v>
      </c>
      <c r="C114" t="s">
        <v>1315</v>
      </c>
    </row>
    <row r="115" spans="1:3" x14ac:dyDescent="0.35">
      <c r="A115" t="s">
        <v>1059</v>
      </c>
      <c r="B115" t="s">
        <v>1058</v>
      </c>
      <c r="C115" t="s">
        <v>1315</v>
      </c>
    </row>
    <row r="116" spans="1:3" x14ac:dyDescent="0.35">
      <c r="A116" t="s">
        <v>1057</v>
      </c>
      <c r="B116" t="s">
        <v>1056</v>
      </c>
      <c r="C116" t="s">
        <v>1315</v>
      </c>
    </row>
    <row r="117" spans="1:3" x14ac:dyDescent="0.35">
      <c r="A117" t="s">
        <v>1055</v>
      </c>
      <c r="B117" t="s">
        <v>1054</v>
      </c>
      <c r="C117" t="s">
        <v>1315</v>
      </c>
    </row>
    <row r="118" spans="1:3" x14ac:dyDescent="0.35">
      <c r="A118" t="s">
        <v>1053</v>
      </c>
      <c r="B118" t="s">
        <v>1052</v>
      </c>
      <c r="C118" t="s">
        <v>1315</v>
      </c>
    </row>
    <row r="119" spans="1:3" x14ac:dyDescent="0.35">
      <c r="A119" t="s">
        <v>1051</v>
      </c>
      <c r="B119" t="s">
        <v>1050</v>
      </c>
      <c r="C119" t="s">
        <v>1321</v>
      </c>
    </row>
    <row r="120" spans="1:3" x14ac:dyDescent="0.35">
      <c r="A120" t="s">
        <v>1049</v>
      </c>
      <c r="B120" t="s">
        <v>1048</v>
      </c>
      <c r="C120" t="s">
        <v>1357</v>
      </c>
    </row>
    <row r="121" spans="1:3" x14ac:dyDescent="0.35">
      <c r="A121" t="s">
        <v>1047</v>
      </c>
      <c r="B121" t="s">
        <v>1046</v>
      </c>
      <c r="C121" t="s">
        <v>1315</v>
      </c>
    </row>
    <row r="122" spans="1:3" x14ac:dyDescent="0.35">
      <c r="A122" t="s">
        <v>1045</v>
      </c>
      <c r="B122" t="s">
        <v>1043</v>
      </c>
      <c r="C122" t="s">
        <v>1315</v>
      </c>
    </row>
    <row r="123" spans="1:3" x14ac:dyDescent="0.35">
      <c r="A123" t="s">
        <v>1044</v>
      </c>
      <c r="B123" t="s">
        <v>1043</v>
      </c>
      <c r="C123" t="s">
        <v>1315</v>
      </c>
    </row>
    <row r="124" spans="1:3" x14ac:dyDescent="0.35">
      <c r="A124" t="s">
        <v>1042</v>
      </c>
      <c r="B124" t="s">
        <v>1041</v>
      </c>
      <c r="C124" t="s">
        <v>1321</v>
      </c>
    </row>
    <row r="125" spans="1:3" x14ac:dyDescent="0.35">
      <c r="A125" t="s">
        <v>1040</v>
      </c>
      <c r="B125" t="s">
        <v>1039</v>
      </c>
      <c r="C125" t="s">
        <v>1315</v>
      </c>
    </row>
    <row r="126" spans="1:3" x14ac:dyDescent="0.35">
      <c r="A126" t="s">
        <v>1038</v>
      </c>
      <c r="B126" t="s">
        <v>1037</v>
      </c>
      <c r="C126" t="s">
        <v>1315</v>
      </c>
    </row>
    <row r="127" spans="1:3" x14ac:dyDescent="0.35">
      <c r="A127" t="s">
        <v>1036</v>
      </c>
      <c r="B127" t="s">
        <v>1035</v>
      </c>
      <c r="C127" t="s">
        <v>1347</v>
      </c>
    </row>
    <row r="128" spans="1:3" x14ac:dyDescent="0.35">
      <c r="A128" t="s">
        <v>1034</v>
      </c>
      <c r="B128" t="s">
        <v>1033</v>
      </c>
      <c r="C128" t="s">
        <v>1347</v>
      </c>
    </row>
    <row r="129" spans="1:3" x14ac:dyDescent="0.35">
      <c r="A129" t="s">
        <v>1032</v>
      </c>
      <c r="B129" t="s">
        <v>1031</v>
      </c>
      <c r="C129" t="s">
        <v>1315</v>
      </c>
    </row>
    <row r="130" spans="1:3" x14ac:dyDescent="0.35">
      <c r="A130" t="s">
        <v>1030</v>
      </c>
      <c r="B130" t="s">
        <v>1029</v>
      </c>
      <c r="C130" t="s">
        <v>1357</v>
      </c>
    </row>
    <row r="131" spans="1:3" x14ac:dyDescent="0.35">
      <c r="A131" t="s">
        <v>1028</v>
      </c>
      <c r="B131" t="s">
        <v>1027</v>
      </c>
      <c r="C131" t="s">
        <v>1315</v>
      </c>
    </row>
    <row r="132" spans="1:3" x14ac:dyDescent="0.35">
      <c r="A132" t="s">
        <v>1026</v>
      </c>
      <c r="B132" t="s">
        <v>1023</v>
      </c>
      <c r="C132" t="s">
        <v>1315</v>
      </c>
    </row>
    <row r="133" spans="1:3" x14ac:dyDescent="0.35">
      <c r="A133" t="s">
        <v>1025</v>
      </c>
      <c r="B133" t="s">
        <v>1023</v>
      </c>
      <c r="C133" t="s">
        <v>1315</v>
      </c>
    </row>
    <row r="134" spans="1:3" x14ac:dyDescent="0.35">
      <c r="A134" t="s">
        <v>1024</v>
      </c>
      <c r="B134" t="s">
        <v>1023</v>
      </c>
      <c r="C134" t="s">
        <v>1315</v>
      </c>
    </row>
    <row r="135" spans="1:3" x14ac:dyDescent="0.35">
      <c r="A135" t="s">
        <v>1022</v>
      </c>
      <c r="B135" t="s">
        <v>1021</v>
      </c>
      <c r="C135" t="s">
        <v>1315</v>
      </c>
    </row>
    <row r="136" spans="1:3" x14ac:dyDescent="0.35">
      <c r="A136" t="s">
        <v>1020</v>
      </c>
      <c r="B136" t="s">
        <v>792</v>
      </c>
      <c r="C136" t="s">
        <v>1315</v>
      </c>
    </row>
    <row r="137" spans="1:3" x14ac:dyDescent="0.35">
      <c r="A137" t="s">
        <v>1019</v>
      </c>
      <c r="B137" t="s">
        <v>1018</v>
      </c>
      <c r="C137" t="s">
        <v>1340</v>
      </c>
    </row>
    <row r="138" spans="1:3" x14ac:dyDescent="0.35">
      <c r="A138" t="s">
        <v>1017</v>
      </c>
      <c r="B138" t="s">
        <v>1016</v>
      </c>
      <c r="C138" t="s">
        <v>1341</v>
      </c>
    </row>
    <row r="139" spans="1:3" x14ac:dyDescent="0.35">
      <c r="A139" t="s">
        <v>1015</v>
      </c>
      <c r="B139" t="s">
        <v>1014</v>
      </c>
      <c r="C139" t="s">
        <v>1321</v>
      </c>
    </row>
    <row r="140" spans="1:3" x14ac:dyDescent="0.35">
      <c r="A140" t="s">
        <v>1013</v>
      </c>
      <c r="B140" t="s">
        <v>1012</v>
      </c>
      <c r="C140" t="s">
        <v>1315</v>
      </c>
    </row>
    <row r="141" spans="1:3" x14ac:dyDescent="0.35">
      <c r="A141" t="s">
        <v>1011</v>
      </c>
      <c r="B141" t="s">
        <v>1010</v>
      </c>
      <c r="C141" t="s">
        <v>1322</v>
      </c>
    </row>
    <row r="142" spans="1:3" x14ac:dyDescent="0.35">
      <c r="A142" t="s">
        <v>1009</v>
      </c>
      <c r="B142" t="s">
        <v>1008</v>
      </c>
      <c r="C142" t="s">
        <v>1340</v>
      </c>
    </row>
    <row r="143" spans="1:3" x14ac:dyDescent="0.35">
      <c r="A143" t="s">
        <v>1007</v>
      </c>
      <c r="B143" t="s">
        <v>1006</v>
      </c>
      <c r="C143" t="s">
        <v>1315</v>
      </c>
    </row>
    <row r="144" spans="1:3" x14ac:dyDescent="0.35">
      <c r="A144" t="s">
        <v>1005</v>
      </c>
      <c r="B144" t="s">
        <v>1004</v>
      </c>
      <c r="C144" t="s">
        <v>1315</v>
      </c>
    </row>
    <row r="145" spans="1:3" x14ac:dyDescent="0.35">
      <c r="A145" t="s">
        <v>1003</v>
      </c>
      <c r="B145" t="s">
        <v>1002</v>
      </c>
      <c r="C145" t="s">
        <v>1321</v>
      </c>
    </row>
    <row r="146" spans="1:3" x14ac:dyDescent="0.35">
      <c r="A146" t="s">
        <v>1001</v>
      </c>
      <c r="B146" t="s">
        <v>1000</v>
      </c>
      <c r="C146" t="s">
        <v>1321</v>
      </c>
    </row>
    <row r="147" spans="1:3" x14ac:dyDescent="0.35">
      <c r="A147" t="s">
        <v>999</v>
      </c>
      <c r="B147" t="s">
        <v>998</v>
      </c>
      <c r="C147" t="s">
        <v>1321</v>
      </c>
    </row>
    <row r="148" spans="1:3" x14ac:dyDescent="0.35">
      <c r="A148" t="s">
        <v>997</v>
      </c>
      <c r="B148" t="s">
        <v>996</v>
      </c>
      <c r="C148" t="s">
        <v>1361</v>
      </c>
    </row>
    <row r="149" spans="1:3" x14ac:dyDescent="0.35">
      <c r="A149" t="s">
        <v>995</v>
      </c>
      <c r="B149" t="s">
        <v>994</v>
      </c>
      <c r="C149" t="s">
        <v>1315</v>
      </c>
    </row>
    <row r="150" spans="1:3" x14ac:dyDescent="0.35">
      <c r="A150" t="s">
        <v>993</v>
      </c>
      <c r="B150" t="s">
        <v>992</v>
      </c>
      <c r="C150" t="s">
        <v>1340</v>
      </c>
    </row>
    <row r="151" spans="1:3" x14ac:dyDescent="0.35">
      <c r="A151" t="s">
        <v>991</v>
      </c>
      <c r="B151" t="s">
        <v>990</v>
      </c>
      <c r="C151" t="s">
        <v>1321</v>
      </c>
    </row>
    <row r="152" spans="1:3" x14ac:dyDescent="0.35">
      <c r="A152" t="s">
        <v>989</v>
      </c>
      <c r="B152" t="s">
        <v>988</v>
      </c>
      <c r="C152" t="s">
        <v>1349</v>
      </c>
    </row>
    <row r="153" spans="1:3" x14ac:dyDescent="0.35">
      <c r="A153" t="s">
        <v>987</v>
      </c>
      <c r="B153" t="s">
        <v>986</v>
      </c>
      <c r="C153" t="s">
        <v>1314</v>
      </c>
    </row>
    <row r="154" spans="1:3" x14ac:dyDescent="0.35">
      <c r="A154" t="s">
        <v>985</v>
      </c>
      <c r="B154" t="s">
        <v>984</v>
      </c>
      <c r="C154" t="s">
        <v>1314</v>
      </c>
    </row>
    <row r="155" spans="1:3" x14ac:dyDescent="0.35">
      <c r="A155" t="s">
        <v>983</v>
      </c>
      <c r="B155" t="s">
        <v>982</v>
      </c>
      <c r="C155" t="s">
        <v>1314</v>
      </c>
    </row>
    <row r="156" spans="1:3" x14ac:dyDescent="0.35">
      <c r="A156" t="s">
        <v>981</v>
      </c>
      <c r="B156" t="s">
        <v>980</v>
      </c>
      <c r="C156" t="s">
        <v>1315</v>
      </c>
    </row>
    <row r="157" spans="1:3" x14ac:dyDescent="0.35">
      <c r="A157" t="s">
        <v>979</v>
      </c>
      <c r="B157" t="s">
        <v>978</v>
      </c>
      <c r="C157" t="s">
        <v>1314</v>
      </c>
    </row>
    <row r="158" spans="1:3" x14ac:dyDescent="0.35">
      <c r="A158" t="s">
        <v>977</v>
      </c>
      <c r="B158" t="s">
        <v>976</v>
      </c>
      <c r="C158" t="s">
        <v>1314</v>
      </c>
    </row>
    <row r="159" spans="1:3" x14ac:dyDescent="0.35">
      <c r="A159" t="s">
        <v>975</v>
      </c>
      <c r="B159" t="s">
        <v>973</v>
      </c>
      <c r="C159" t="s">
        <v>1314</v>
      </c>
    </row>
    <row r="160" spans="1:3" x14ac:dyDescent="0.35">
      <c r="A160" t="s">
        <v>974</v>
      </c>
      <c r="B160" t="s">
        <v>973</v>
      </c>
      <c r="C160" t="s">
        <v>1314</v>
      </c>
    </row>
    <row r="161" spans="1:3" x14ac:dyDescent="0.35">
      <c r="A161" t="s">
        <v>972</v>
      </c>
      <c r="B161" t="s">
        <v>948</v>
      </c>
      <c r="C161" t="s">
        <v>1314</v>
      </c>
    </row>
    <row r="162" spans="1:3" x14ac:dyDescent="0.35">
      <c r="A162" t="s">
        <v>971</v>
      </c>
      <c r="B162" t="s">
        <v>948</v>
      </c>
      <c r="C162" t="s">
        <v>1314</v>
      </c>
    </row>
    <row r="163" spans="1:3" x14ac:dyDescent="0.35">
      <c r="A163" t="s">
        <v>970</v>
      </c>
      <c r="B163" t="s">
        <v>948</v>
      </c>
      <c r="C163" t="s">
        <v>1314</v>
      </c>
    </row>
    <row r="164" spans="1:3" x14ac:dyDescent="0.35">
      <c r="A164" t="s">
        <v>969</v>
      </c>
      <c r="B164" t="s">
        <v>948</v>
      </c>
      <c r="C164" t="s">
        <v>1314</v>
      </c>
    </row>
    <row r="165" spans="1:3" x14ac:dyDescent="0.35">
      <c r="A165" t="s">
        <v>968</v>
      </c>
      <c r="B165" t="s">
        <v>948</v>
      </c>
      <c r="C165" t="s">
        <v>1314</v>
      </c>
    </row>
    <row r="166" spans="1:3" x14ac:dyDescent="0.35">
      <c r="A166" t="s">
        <v>967</v>
      </c>
      <c r="B166" t="s">
        <v>948</v>
      </c>
      <c r="C166" t="s">
        <v>1314</v>
      </c>
    </row>
    <row r="167" spans="1:3" x14ac:dyDescent="0.35">
      <c r="A167" t="s">
        <v>966</v>
      </c>
      <c r="B167" t="s">
        <v>965</v>
      </c>
      <c r="C167" t="s">
        <v>1359</v>
      </c>
    </row>
    <row r="168" spans="1:3" x14ac:dyDescent="0.35">
      <c r="A168" t="s">
        <v>964</v>
      </c>
      <c r="B168" t="s">
        <v>963</v>
      </c>
      <c r="C168" t="s">
        <v>1359</v>
      </c>
    </row>
    <row r="169" spans="1:3" x14ac:dyDescent="0.35">
      <c r="A169" t="s">
        <v>962</v>
      </c>
      <c r="B169" t="s">
        <v>960</v>
      </c>
      <c r="C169" t="s">
        <v>1314</v>
      </c>
    </row>
    <row r="170" spans="1:3" x14ac:dyDescent="0.35">
      <c r="A170" t="s">
        <v>961</v>
      </c>
      <c r="B170" t="s">
        <v>960</v>
      </c>
      <c r="C170" t="s">
        <v>1314</v>
      </c>
    </row>
    <row r="171" spans="1:3" x14ac:dyDescent="0.35">
      <c r="A171" t="s">
        <v>959</v>
      </c>
      <c r="B171" t="s">
        <v>958</v>
      </c>
      <c r="C171" t="s">
        <v>1315</v>
      </c>
    </row>
    <row r="172" spans="1:3" x14ac:dyDescent="0.35">
      <c r="A172" t="s">
        <v>957</v>
      </c>
      <c r="B172" t="s">
        <v>908</v>
      </c>
      <c r="C172" t="s">
        <v>1315</v>
      </c>
    </row>
    <row r="173" spans="1:3" x14ac:dyDescent="0.35">
      <c r="A173" t="s">
        <v>956</v>
      </c>
      <c r="B173" t="s">
        <v>953</v>
      </c>
      <c r="C173" t="s">
        <v>1315</v>
      </c>
    </row>
    <row r="174" spans="1:3" x14ac:dyDescent="0.35">
      <c r="A174" t="s">
        <v>955</v>
      </c>
      <c r="B174" t="s">
        <v>953</v>
      </c>
      <c r="C174" t="s">
        <v>1315</v>
      </c>
    </row>
    <row r="175" spans="1:3" x14ac:dyDescent="0.35">
      <c r="A175" t="s">
        <v>954</v>
      </c>
      <c r="B175" t="s">
        <v>953</v>
      </c>
      <c r="C175" t="s">
        <v>1315</v>
      </c>
    </row>
    <row r="176" spans="1:3" x14ac:dyDescent="0.35">
      <c r="A176" t="s">
        <v>952</v>
      </c>
      <c r="B176" t="s">
        <v>939</v>
      </c>
      <c r="C176" t="s">
        <v>1315</v>
      </c>
    </row>
    <row r="177" spans="1:3" x14ac:dyDescent="0.35">
      <c r="A177" t="s">
        <v>951</v>
      </c>
      <c r="B177" t="s">
        <v>912</v>
      </c>
      <c r="C177" t="s">
        <v>1315</v>
      </c>
    </row>
    <row r="178" spans="1:3" x14ac:dyDescent="0.35">
      <c r="A178" t="s">
        <v>950</v>
      </c>
      <c r="B178" t="s">
        <v>939</v>
      </c>
      <c r="C178" t="s">
        <v>1315</v>
      </c>
    </row>
    <row r="179" spans="1:3" x14ac:dyDescent="0.35">
      <c r="A179" t="s">
        <v>949</v>
      </c>
      <c r="B179" t="s">
        <v>948</v>
      </c>
      <c r="C179" t="s">
        <v>1315</v>
      </c>
    </row>
    <row r="180" spans="1:3" x14ac:dyDescent="0.35">
      <c r="A180" t="s">
        <v>947</v>
      </c>
      <c r="B180" t="s">
        <v>939</v>
      </c>
      <c r="C180" t="s">
        <v>1315</v>
      </c>
    </row>
    <row r="181" spans="1:3" x14ac:dyDescent="0.35">
      <c r="A181" t="s">
        <v>946</v>
      </c>
      <c r="B181" t="s">
        <v>939</v>
      </c>
      <c r="C181" t="s">
        <v>1315</v>
      </c>
    </row>
    <row r="182" spans="1:3" x14ac:dyDescent="0.35">
      <c r="A182" t="s">
        <v>945</v>
      </c>
      <c r="B182" t="s">
        <v>939</v>
      </c>
      <c r="C182" t="s">
        <v>1315</v>
      </c>
    </row>
    <row r="183" spans="1:3" x14ac:dyDescent="0.35">
      <c r="A183" t="s">
        <v>944</v>
      </c>
      <c r="B183" t="s">
        <v>943</v>
      </c>
      <c r="C183" t="s">
        <v>1315</v>
      </c>
    </row>
    <row r="184" spans="1:3" x14ac:dyDescent="0.35">
      <c r="A184" t="s">
        <v>942</v>
      </c>
      <c r="B184" t="s">
        <v>939</v>
      </c>
      <c r="C184" t="s">
        <v>1315</v>
      </c>
    </row>
    <row r="185" spans="1:3" x14ac:dyDescent="0.35">
      <c r="A185" t="s">
        <v>941</v>
      </c>
      <c r="B185" t="s">
        <v>939</v>
      </c>
      <c r="C185" t="s">
        <v>1315</v>
      </c>
    </row>
    <row r="186" spans="1:3" x14ac:dyDescent="0.35">
      <c r="A186" t="s">
        <v>940</v>
      </c>
      <c r="B186" t="s">
        <v>939</v>
      </c>
      <c r="C186" t="s">
        <v>1315</v>
      </c>
    </row>
    <row r="187" spans="1:3" x14ac:dyDescent="0.35">
      <c r="A187" t="s">
        <v>938</v>
      </c>
      <c r="B187" t="s">
        <v>937</v>
      </c>
      <c r="C187" t="s">
        <v>1315</v>
      </c>
    </row>
    <row r="188" spans="1:3" x14ac:dyDescent="0.35">
      <c r="A188" t="s">
        <v>936</v>
      </c>
      <c r="B188" t="s">
        <v>934</v>
      </c>
      <c r="C188" t="s">
        <v>1315</v>
      </c>
    </row>
    <row r="189" spans="1:3" x14ac:dyDescent="0.35">
      <c r="A189" t="s">
        <v>935</v>
      </c>
      <c r="B189" t="s">
        <v>934</v>
      </c>
      <c r="C189" t="s">
        <v>1315</v>
      </c>
    </row>
    <row r="190" spans="1:3" x14ac:dyDescent="0.35">
      <c r="A190" t="s">
        <v>933</v>
      </c>
      <c r="B190" t="s">
        <v>932</v>
      </c>
      <c r="C190" t="s">
        <v>1315</v>
      </c>
    </row>
    <row r="191" spans="1:3" x14ac:dyDescent="0.35">
      <c r="A191" t="s">
        <v>931</v>
      </c>
      <c r="B191" t="s">
        <v>930</v>
      </c>
      <c r="C191" t="s">
        <v>1315</v>
      </c>
    </row>
    <row r="192" spans="1:3" x14ac:dyDescent="0.35">
      <c r="A192" t="s">
        <v>929</v>
      </c>
      <c r="B192" t="s">
        <v>920</v>
      </c>
      <c r="C192" t="s">
        <v>1315</v>
      </c>
    </row>
    <row r="193" spans="1:3" x14ac:dyDescent="0.35">
      <c r="A193" t="s">
        <v>928</v>
      </c>
      <c r="B193" t="s">
        <v>927</v>
      </c>
      <c r="C193" t="s">
        <v>1315</v>
      </c>
    </row>
    <row r="194" spans="1:3" x14ac:dyDescent="0.35">
      <c r="A194" t="s">
        <v>926</v>
      </c>
      <c r="B194" t="s">
        <v>925</v>
      </c>
      <c r="C194" t="s">
        <v>1314</v>
      </c>
    </row>
    <row r="195" spans="1:3" x14ac:dyDescent="0.35">
      <c r="A195" t="s">
        <v>924</v>
      </c>
      <c r="B195" t="s">
        <v>923</v>
      </c>
      <c r="C195" t="s">
        <v>1359</v>
      </c>
    </row>
    <row r="196" spans="1:3" x14ac:dyDescent="0.35">
      <c r="A196" t="s">
        <v>922</v>
      </c>
      <c r="B196" t="s">
        <v>920</v>
      </c>
      <c r="C196" t="s">
        <v>1314</v>
      </c>
    </row>
    <row r="197" spans="1:3" x14ac:dyDescent="0.35">
      <c r="A197" t="s">
        <v>921</v>
      </c>
      <c r="B197" t="s">
        <v>920</v>
      </c>
      <c r="C197" t="s">
        <v>1314</v>
      </c>
    </row>
    <row r="198" spans="1:3" x14ac:dyDescent="0.35">
      <c r="A198" t="s">
        <v>919</v>
      </c>
      <c r="B198" t="s">
        <v>918</v>
      </c>
      <c r="C198" t="s">
        <v>1315</v>
      </c>
    </row>
    <row r="199" spans="1:3" x14ac:dyDescent="0.35">
      <c r="A199" t="s">
        <v>917</v>
      </c>
      <c r="B199" t="s">
        <v>916</v>
      </c>
      <c r="C199" t="s">
        <v>1315</v>
      </c>
    </row>
    <row r="200" spans="1:3" x14ac:dyDescent="0.35">
      <c r="A200" t="s">
        <v>915</v>
      </c>
      <c r="B200" t="s">
        <v>912</v>
      </c>
      <c r="C200" t="s">
        <v>1315</v>
      </c>
    </row>
    <row r="201" spans="1:3" x14ac:dyDescent="0.35">
      <c r="A201" t="s">
        <v>914</v>
      </c>
      <c r="B201" t="s">
        <v>912</v>
      </c>
      <c r="C201" t="s">
        <v>1315</v>
      </c>
    </row>
    <row r="202" spans="1:3" x14ac:dyDescent="0.35">
      <c r="A202" t="s">
        <v>913</v>
      </c>
      <c r="B202" t="s">
        <v>912</v>
      </c>
      <c r="C202" t="s">
        <v>1315</v>
      </c>
    </row>
    <row r="203" spans="1:3" x14ac:dyDescent="0.35">
      <c r="A203" t="s">
        <v>911</v>
      </c>
      <c r="B203" t="s">
        <v>908</v>
      </c>
      <c r="C203" t="s">
        <v>1315</v>
      </c>
    </row>
    <row r="204" spans="1:3" x14ac:dyDescent="0.35">
      <c r="A204" t="s">
        <v>910</v>
      </c>
      <c r="B204" t="s">
        <v>908</v>
      </c>
      <c r="C204" t="s">
        <v>1315</v>
      </c>
    </row>
    <row r="205" spans="1:3" x14ac:dyDescent="0.35">
      <c r="A205" t="s">
        <v>909</v>
      </c>
      <c r="B205" t="s">
        <v>908</v>
      </c>
      <c r="C205" t="s">
        <v>1315</v>
      </c>
    </row>
    <row r="206" spans="1:3" x14ac:dyDescent="0.35">
      <c r="A206" t="s">
        <v>907</v>
      </c>
      <c r="B206" t="s">
        <v>906</v>
      </c>
      <c r="C206" t="s">
        <v>1315</v>
      </c>
    </row>
    <row r="207" spans="1:3" x14ac:dyDescent="0.35">
      <c r="A207" t="s">
        <v>905</v>
      </c>
      <c r="B207" t="s">
        <v>904</v>
      </c>
      <c r="C207" t="s">
        <v>1321</v>
      </c>
    </row>
    <row r="208" spans="1:3" x14ac:dyDescent="0.35">
      <c r="A208" t="s">
        <v>903</v>
      </c>
      <c r="B208" t="s">
        <v>902</v>
      </c>
      <c r="C208" t="s">
        <v>1321</v>
      </c>
    </row>
    <row r="209" spans="1:3" x14ac:dyDescent="0.35">
      <c r="A209" t="s">
        <v>901</v>
      </c>
      <c r="B209" t="s">
        <v>900</v>
      </c>
      <c r="C209" t="s">
        <v>1321</v>
      </c>
    </row>
    <row r="210" spans="1:3" x14ac:dyDescent="0.35">
      <c r="A210" t="s">
        <v>899</v>
      </c>
      <c r="B210" t="s">
        <v>897</v>
      </c>
      <c r="C210" t="s">
        <v>1315</v>
      </c>
    </row>
    <row r="211" spans="1:3" x14ac:dyDescent="0.35">
      <c r="A211" t="s">
        <v>898</v>
      </c>
      <c r="B211" t="s">
        <v>897</v>
      </c>
      <c r="C211" t="s">
        <v>1315</v>
      </c>
    </row>
    <row r="212" spans="1:3" x14ac:dyDescent="0.35">
      <c r="A212" t="s">
        <v>896</v>
      </c>
      <c r="B212" t="s">
        <v>895</v>
      </c>
      <c r="C212" t="s">
        <v>1315</v>
      </c>
    </row>
    <row r="213" spans="1:3" x14ac:dyDescent="0.35">
      <c r="A213" t="s">
        <v>894</v>
      </c>
      <c r="B213" t="s">
        <v>893</v>
      </c>
      <c r="C213" t="s">
        <v>1321</v>
      </c>
    </row>
    <row r="214" spans="1:3" x14ac:dyDescent="0.35">
      <c r="A214" t="s">
        <v>892</v>
      </c>
      <c r="B214" t="s">
        <v>891</v>
      </c>
      <c r="C214" t="s">
        <v>1359</v>
      </c>
    </row>
    <row r="215" spans="1:3" x14ac:dyDescent="0.35">
      <c r="A215" t="s">
        <v>890</v>
      </c>
      <c r="B215" t="s">
        <v>889</v>
      </c>
      <c r="C215" t="s">
        <v>1315</v>
      </c>
    </row>
    <row r="216" spans="1:3" x14ac:dyDescent="0.35">
      <c r="A216" t="s">
        <v>888</v>
      </c>
      <c r="B216" t="s">
        <v>887</v>
      </c>
      <c r="C216" t="s">
        <v>1314</v>
      </c>
    </row>
    <row r="217" spans="1:3" x14ac:dyDescent="0.35">
      <c r="A217" t="s">
        <v>886</v>
      </c>
      <c r="B217" t="s">
        <v>885</v>
      </c>
      <c r="C217" t="s">
        <v>1315</v>
      </c>
    </row>
    <row r="218" spans="1:3" x14ac:dyDescent="0.35">
      <c r="A218" t="s">
        <v>884</v>
      </c>
      <c r="B218" t="s">
        <v>883</v>
      </c>
      <c r="C218" t="s">
        <v>1315</v>
      </c>
    </row>
    <row r="219" spans="1:3" x14ac:dyDescent="0.35">
      <c r="A219" t="s">
        <v>882</v>
      </c>
      <c r="B219" t="s">
        <v>881</v>
      </c>
      <c r="C219" t="s">
        <v>1315</v>
      </c>
    </row>
    <row r="220" spans="1:3" x14ac:dyDescent="0.35">
      <c r="A220" t="s">
        <v>880</v>
      </c>
      <c r="B220" t="s">
        <v>879</v>
      </c>
      <c r="C220" t="s">
        <v>1314</v>
      </c>
    </row>
    <row r="221" spans="1:3" x14ac:dyDescent="0.35">
      <c r="A221" t="s">
        <v>878</v>
      </c>
      <c r="B221" t="s">
        <v>877</v>
      </c>
      <c r="C221" t="s">
        <v>1338</v>
      </c>
    </row>
    <row r="222" spans="1:3" x14ac:dyDescent="0.35">
      <c r="A222" t="s">
        <v>876</v>
      </c>
      <c r="B222" t="s">
        <v>875</v>
      </c>
      <c r="C222" t="s">
        <v>1315</v>
      </c>
    </row>
    <row r="223" spans="1:3" x14ac:dyDescent="0.35">
      <c r="A223" t="s">
        <v>874</v>
      </c>
      <c r="B223" t="s">
        <v>873</v>
      </c>
      <c r="C223" t="s">
        <v>1315</v>
      </c>
    </row>
    <row r="224" spans="1:3" x14ac:dyDescent="0.35">
      <c r="A224" t="s">
        <v>872</v>
      </c>
      <c r="B224" t="s">
        <v>871</v>
      </c>
      <c r="C224" t="s">
        <v>1315</v>
      </c>
    </row>
    <row r="225" spans="1:3" x14ac:dyDescent="0.35">
      <c r="A225" t="s">
        <v>870</v>
      </c>
      <c r="B225" t="s">
        <v>869</v>
      </c>
      <c r="C225" t="s">
        <v>1314</v>
      </c>
    </row>
    <row r="226" spans="1:3" x14ac:dyDescent="0.35">
      <c r="A226" t="s">
        <v>868</v>
      </c>
      <c r="B226" t="s">
        <v>867</v>
      </c>
      <c r="C226" t="s">
        <v>1315</v>
      </c>
    </row>
    <row r="227" spans="1:3" x14ac:dyDescent="0.35">
      <c r="A227" t="s">
        <v>866</v>
      </c>
      <c r="B227" t="s">
        <v>865</v>
      </c>
      <c r="C227" t="s">
        <v>1321</v>
      </c>
    </row>
    <row r="228" spans="1:3" x14ac:dyDescent="0.35">
      <c r="A228" t="s">
        <v>864</v>
      </c>
      <c r="B228" t="s">
        <v>863</v>
      </c>
      <c r="C228" t="s">
        <v>1321</v>
      </c>
    </row>
    <row r="229" spans="1:3" x14ac:dyDescent="0.35">
      <c r="A229" t="s">
        <v>862</v>
      </c>
      <c r="B229" t="s">
        <v>861</v>
      </c>
      <c r="C229" t="s">
        <v>1314</v>
      </c>
    </row>
    <row r="230" spans="1:3" x14ac:dyDescent="0.35">
      <c r="A230" t="s">
        <v>860</v>
      </c>
      <c r="B230" t="s">
        <v>857</v>
      </c>
      <c r="C230" t="s">
        <v>1315</v>
      </c>
    </row>
    <row r="231" spans="1:3" x14ac:dyDescent="0.35">
      <c r="A231" t="s">
        <v>859</v>
      </c>
      <c r="B231" t="s">
        <v>857</v>
      </c>
      <c r="C231" t="s">
        <v>1315</v>
      </c>
    </row>
    <row r="232" spans="1:3" x14ac:dyDescent="0.35">
      <c r="A232" t="s">
        <v>858</v>
      </c>
      <c r="B232" t="s">
        <v>857</v>
      </c>
      <c r="C232" t="s">
        <v>1315</v>
      </c>
    </row>
    <row r="233" spans="1:3" x14ac:dyDescent="0.35">
      <c r="A233" t="s">
        <v>856</v>
      </c>
      <c r="B233" t="s">
        <v>855</v>
      </c>
      <c r="C233" t="s">
        <v>1315</v>
      </c>
    </row>
    <row r="234" spans="1:3" x14ac:dyDescent="0.35">
      <c r="A234" t="s">
        <v>854</v>
      </c>
      <c r="B234" t="s">
        <v>853</v>
      </c>
      <c r="C234" t="s">
        <v>1315</v>
      </c>
    </row>
    <row r="235" spans="1:3" x14ac:dyDescent="0.35">
      <c r="A235" t="s">
        <v>852</v>
      </c>
      <c r="B235" t="s">
        <v>851</v>
      </c>
      <c r="C235" t="s">
        <v>1321</v>
      </c>
    </row>
    <row r="236" spans="1:3" x14ac:dyDescent="0.35">
      <c r="A236" t="s">
        <v>850</v>
      </c>
      <c r="B236" t="s">
        <v>849</v>
      </c>
      <c r="C236" t="s">
        <v>1321</v>
      </c>
    </row>
    <row r="237" spans="1:3" x14ac:dyDescent="0.35">
      <c r="A237" t="s">
        <v>848</v>
      </c>
      <c r="B237" t="s">
        <v>847</v>
      </c>
      <c r="C237" t="s">
        <v>1321</v>
      </c>
    </row>
    <row r="238" spans="1:3" x14ac:dyDescent="0.35">
      <c r="A238" t="s">
        <v>846</v>
      </c>
      <c r="B238" t="s">
        <v>845</v>
      </c>
      <c r="C238" t="s">
        <v>1321</v>
      </c>
    </row>
    <row r="239" spans="1:3" x14ac:dyDescent="0.35">
      <c r="A239" t="s">
        <v>844</v>
      </c>
      <c r="B239" t="s">
        <v>841</v>
      </c>
      <c r="C239" t="s">
        <v>1315</v>
      </c>
    </row>
    <row r="240" spans="1:3" x14ac:dyDescent="0.35">
      <c r="A240" t="s">
        <v>843</v>
      </c>
      <c r="B240" t="s">
        <v>841</v>
      </c>
      <c r="C240" t="s">
        <v>1315</v>
      </c>
    </row>
    <row r="241" spans="1:3" x14ac:dyDescent="0.35">
      <c r="A241" t="s">
        <v>842</v>
      </c>
      <c r="B241" t="s">
        <v>841</v>
      </c>
      <c r="C241" t="s">
        <v>1315</v>
      </c>
    </row>
    <row r="242" spans="1:3" x14ac:dyDescent="0.35">
      <c r="A242" t="s">
        <v>840</v>
      </c>
      <c r="B242" t="s">
        <v>839</v>
      </c>
      <c r="C242" t="s">
        <v>1321</v>
      </c>
    </row>
    <row r="243" spans="1:3" x14ac:dyDescent="0.35">
      <c r="A243" t="s">
        <v>838</v>
      </c>
      <c r="B243" t="s">
        <v>837</v>
      </c>
      <c r="C243" t="s">
        <v>1321</v>
      </c>
    </row>
    <row r="244" spans="1:3" x14ac:dyDescent="0.35">
      <c r="A244" t="s">
        <v>836</v>
      </c>
      <c r="B244" t="s">
        <v>835</v>
      </c>
      <c r="C244" t="s">
        <v>1321</v>
      </c>
    </row>
    <row r="245" spans="1:3" x14ac:dyDescent="0.35">
      <c r="A245" t="s">
        <v>834</v>
      </c>
      <c r="B245" t="s">
        <v>833</v>
      </c>
      <c r="C245" t="s">
        <v>1315</v>
      </c>
    </row>
    <row r="246" spans="1:3" x14ac:dyDescent="0.35">
      <c r="A246" t="s">
        <v>832</v>
      </c>
      <c r="B246" t="s">
        <v>831</v>
      </c>
      <c r="C246" t="s">
        <v>1321</v>
      </c>
    </row>
    <row r="247" spans="1:3" x14ac:dyDescent="0.35">
      <c r="A247" t="s">
        <v>830</v>
      </c>
      <c r="B247" t="s">
        <v>829</v>
      </c>
      <c r="C247" t="s">
        <v>1321</v>
      </c>
    </row>
    <row r="248" spans="1:3" x14ac:dyDescent="0.35">
      <c r="A248" t="s">
        <v>828</v>
      </c>
      <c r="B248" t="s">
        <v>827</v>
      </c>
      <c r="C248" t="s">
        <v>1321</v>
      </c>
    </row>
    <row r="249" spans="1:3" x14ac:dyDescent="0.35">
      <c r="A249" t="s">
        <v>826</v>
      </c>
      <c r="B249" t="s">
        <v>825</v>
      </c>
      <c r="C249" t="s">
        <v>1321</v>
      </c>
    </row>
    <row r="250" spans="1:3" x14ac:dyDescent="0.35">
      <c r="A250" t="s">
        <v>824</v>
      </c>
      <c r="B250" t="s">
        <v>823</v>
      </c>
      <c r="C250" t="s">
        <v>1321</v>
      </c>
    </row>
    <row r="251" spans="1:3" x14ac:dyDescent="0.35">
      <c r="A251" t="s">
        <v>822</v>
      </c>
      <c r="B251" t="s">
        <v>821</v>
      </c>
      <c r="C251" t="s">
        <v>1321</v>
      </c>
    </row>
    <row r="252" spans="1:3" x14ac:dyDescent="0.35">
      <c r="A252" t="s">
        <v>820</v>
      </c>
      <c r="B252" t="s">
        <v>819</v>
      </c>
      <c r="C252" t="s">
        <v>1314</v>
      </c>
    </row>
    <row r="253" spans="1:3" x14ac:dyDescent="0.35">
      <c r="A253" t="s">
        <v>818</v>
      </c>
      <c r="B253" t="s">
        <v>817</v>
      </c>
      <c r="C253" t="s">
        <v>1321</v>
      </c>
    </row>
    <row r="254" spans="1:3" x14ac:dyDescent="0.35">
      <c r="A254" t="s">
        <v>816</v>
      </c>
      <c r="B254" t="s">
        <v>815</v>
      </c>
      <c r="C254" t="s">
        <v>1315</v>
      </c>
    </row>
    <row r="255" spans="1:3" x14ac:dyDescent="0.35">
      <c r="A255" t="s">
        <v>814</v>
      </c>
      <c r="B255" t="s">
        <v>813</v>
      </c>
      <c r="C255" t="s">
        <v>1339</v>
      </c>
    </row>
    <row r="256" spans="1:3" x14ac:dyDescent="0.35">
      <c r="A256" t="s">
        <v>812</v>
      </c>
      <c r="B256" t="s">
        <v>811</v>
      </c>
      <c r="C256" t="s">
        <v>1321</v>
      </c>
    </row>
    <row r="257" spans="1:3" x14ac:dyDescent="0.35">
      <c r="A257" t="s">
        <v>810</v>
      </c>
      <c r="B257" t="s">
        <v>809</v>
      </c>
      <c r="C257" t="s">
        <v>1321</v>
      </c>
    </row>
    <row r="258" spans="1:3" x14ac:dyDescent="0.35">
      <c r="A258" t="s">
        <v>808</v>
      </c>
      <c r="B258" t="s">
        <v>807</v>
      </c>
      <c r="C258" t="s">
        <v>1339</v>
      </c>
    </row>
    <row r="259" spans="1:3" x14ac:dyDescent="0.35">
      <c r="A259" t="s">
        <v>806</v>
      </c>
      <c r="B259" t="s">
        <v>805</v>
      </c>
      <c r="C259" t="s">
        <v>1315</v>
      </c>
    </row>
    <row r="260" spans="1:3" x14ac:dyDescent="0.35">
      <c r="A260" t="s">
        <v>804</v>
      </c>
      <c r="B260" t="s">
        <v>803</v>
      </c>
      <c r="C260" t="s">
        <v>1315</v>
      </c>
    </row>
    <row r="261" spans="1:3" x14ac:dyDescent="0.35">
      <c r="A261" t="s">
        <v>802</v>
      </c>
      <c r="B261" t="s">
        <v>801</v>
      </c>
      <c r="C261" t="s">
        <v>1336</v>
      </c>
    </row>
    <row r="262" spans="1:3" x14ac:dyDescent="0.35">
      <c r="A262" t="s">
        <v>800</v>
      </c>
      <c r="B262" t="s">
        <v>799</v>
      </c>
      <c r="C262" t="s">
        <v>1345</v>
      </c>
    </row>
    <row r="263" spans="1:3" x14ac:dyDescent="0.35">
      <c r="A263" t="s">
        <v>798</v>
      </c>
      <c r="B263" t="s">
        <v>785</v>
      </c>
      <c r="C263" t="s">
        <v>1315</v>
      </c>
    </row>
    <row r="264" spans="1:3" x14ac:dyDescent="0.35">
      <c r="A264" t="s">
        <v>797</v>
      </c>
      <c r="B264" t="s">
        <v>796</v>
      </c>
      <c r="C264" t="s">
        <v>1321</v>
      </c>
    </row>
    <row r="265" spans="1:3" x14ac:dyDescent="0.35">
      <c r="A265" t="s">
        <v>795</v>
      </c>
      <c r="B265" t="s">
        <v>794</v>
      </c>
      <c r="C265" t="s">
        <v>1321</v>
      </c>
    </row>
    <row r="266" spans="1:3" x14ac:dyDescent="0.35">
      <c r="A266" t="s">
        <v>793</v>
      </c>
      <c r="B266" t="s">
        <v>792</v>
      </c>
      <c r="C266" t="s">
        <v>1315</v>
      </c>
    </row>
    <row r="267" spans="1:3" x14ac:dyDescent="0.35">
      <c r="A267" t="s">
        <v>791</v>
      </c>
      <c r="B267" t="s">
        <v>790</v>
      </c>
      <c r="C267" t="s">
        <v>1321</v>
      </c>
    </row>
    <row r="268" spans="1:3" x14ac:dyDescent="0.35">
      <c r="A268" t="s">
        <v>789</v>
      </c>
      <c r="B268" t="s">
        <v>788</v>
      </c>
      <c r="C268" t="s">
        <v>1321</v>
      </c>
    </row>
    <row r="269" spans="1:3" x14ac:dyDescent="0.35">
      <c r="A269" t="s">
        <v>787</v>
      </c>
      <c r="B269" t="s">
        <v>785</v>
      </c>
      <c r="C269" t="s">
        <v>1315</v>
      </c>
    </row>
    <row r="270" spans="1:3" x14ac:dyDescent="0.35">
      <c r="A270" t="s">
        <v>786</v>
      </c>
      <c r="B270" t="s">
        <v>785</v>
      </c>
      <c r="C270" t="s">
        <v>1315</v>
      </c>
    </row>
    <row r="271" spans="1:3" x14ac:dyDescent="0.35">
      <c r="A271" t="s">
        <v>784</v>
      </c>
      <c r="B271" t="s">
        <v>783</v>
      </c>
      <c r="C271" t="s">
        <v>1315</v>
      </c>
    </row>
    <row r="272" spans="1:3" x14ac:dyDescent="0.35">
      <c r="A272" t="s">
        <v>782</v>
      </c>
      <c r="B272" t="s">
        <v>781</v>
      </c>
      <c r="C272" t="s">
        <v>1321</v>
      </c>
    </row>
    <row r="273" spans="1:3" x14ac:dyDescent="0.35">
      <c r="A273" t="s">
        <v>780</v>
      </c>
      <c r="B273" t="s">
        <v>779</v>
      </c>
      <c r="C273" t="s">
        <v>1347</v>
      </c>
    </row>
    <row r="274" spans="1:3" x14ac:dyDescent="0.35">
      <c r="A274" t="s">
        <v>778</v>
      </c>
      <c r="B274" t="s">
        <v>777</v>
      </c>
      <c r="C274" t="s">
        <v>1346</v>
      </c>
    </row>
    <row r="275" spans="1:3" x14ac:dyDescent="0.35">
      <c r="A275" t="s">
        <v>776</v>
      </c>
      <c r="B275" t="s">
        <v>775</v>
      </c>
      <c r="C275" t="s">
        <v>1351</v>
      </c>
    </row>
    <row r="276" spans="1:3" x14ac:dyDescent="0.35">
      <c r="A276" t="s">
        <v>774</v>
      </c>
      <c r="B276" t="s">
        <v>773</v>
      </c>
      <c r="C276" t="s">
        <v>1341</v>
      </c>
    </row>
    <row r="277" spans="1:3" x14ac:dyDescent="0.35">
      <c r="A277" t="s">
        <v>772</v>
      </c>
      <c r="B277" t="s">
        <v>771</v>
      </c>
      <c r="C277" t="s">
        <v>1317</v>
      </c>
    </row>
    <row r="278" spans="1:3" x14ac:dyDescent="0.35">
      <c r="A278" t="s">
        <v>770</v>
      </c>
      <c r="B278" t="s">
        <v>769</v>
      </c>
      <c r="C278" t="s">
        <v>1317</v>
      </c>
    </row>
    <row r="279" spans="1:3" x14ac:dyDescent="0.35">
      <c r="A279" t="s">
        <v>768</v>
      </c>
      <c r="B279" t="s">
        <v>767</v>
      </c>
      <c r="C279" t="s">
        <v>1317</v>
      </c>
    </row>
    <row r="280" spans="1:3" x14ac:dyDescent="0.35">
      <c r="A280" t="s">
        <v>766</v>
      </c>
      <c r="B280" t="s">
        <v>765</v>
      </c>
      <c r="C280" t="s">
        <v>1315</v>
      </c>
    </row>
    <row r="281" spans="1:3" x14ac:dyDescent="0.35">
      <c r="A281" t="s">
        <v>764</v>
      </c>
      <c r="B281" t="s">
        <v>763</v>
      </c>
      <c r="C281" t="s">
        <v>1356</v>
      </c>
    </row>
    <row r="282" spans="1:3" x14ac:dyDescent="0.35">
      <c r="A282" t="s">
        <v>762</v>
      </c>
      <c r="B282" t="s">
        <v>761</v>
      </c>
      <c r="C282" t="s">
        <v>1347</v>
      </c>
    </row>
    <row r="283" spans="1:3" x14ac:dyDescent="0.35">
      <c r="A283" t="s">
        <v>760</v>
      </c>
      <c r="B283" t="s">
        <v>759</v>
      </c>
      <c r="C283" t="s">
        <v>1317</v>
      </c>
    </row>
    <row r="284" spans="1:3" x14ac:dyDescent="0.35">
      <c r="A284" t="s">
        <v>758</v>
      </c>
      <c r="B284" t="s">
        <v>757</v>
      </c>
      <c r="C284" t="s">
        <v>1345</v>
      </c>
    </row>
    <row r="285" spans="1:3" x14ac:dyDescent="0.35">
      <c r="A285" t="s">
        <v>756</v>
      </c>
      <c r="B285" t="s">
        <v>755</v>
      </c>
      <c r="C285" t="s">
        <v>1321</v>
      </c>
    </row>
    <row r="286" spans="1:3" x14ac:dyDescent="0.35">
      <c r="A286" t="s">
        <v>754</v>
      </c>
      <c r="B286" t="s">
        <v>753</v>
      </c>
      <c r="C286" t="s">
        <v>1315</v>
      </c>
    </row>
    <row r="287" spans="1:3" x14ac:dyDescent="0.35">
      <c r="A287" t="s">
        <v>752</v>
      </c>
      <c r="B287" t="s">
        <v>751</v>
      </c>
      <c r="C287" t="s">
        <v>1356</v>
      </c>
    </row>
    <row r="288" spans="1:3" x14ac:dyDescent="0.35">
      <c r="A288" t="s">
        <v>750</v>
      </c>
      <c r="B288" t="s">
        <v>749</v>
      </c>
      <c r="C288" t="s">
        <v>1321</v>
      </c>
    </row>
    <row r="289" spans="1:3" x14ac:dyDescent="0.35">
      <c r="A289" t="s">
        <v>748</v>
      </c>
      <c r="B289" t="s">
        <v>747</v>
      </c>
      <c r="C289" t="s">
        <v>1340</v>
      </c>
    </row>
    <row r="290" spans="1:3" x14ac:dyDescent="0.35">
      <c r="A290" t="s">
        <v>746</v>
      </c>
      <c r="B290" t="s">
        <v>745</v>
      </c>
      <c r="C290" t="s">
        <v>1346</v>
      </c>
    </row>
    <row r="291" spans="1:3" x14ac:dyDescent="0.35">
      <c r="A291" t="s">
        <v>743</v>
      </c>
      <c r="B291" t="s">
        <v>742</v>
      </c>
      <c r="C291" t="s">
        <v>1340</v>
      </c>
    </row>
    <row r="292" spans="1:3" x14ac:dyDescent="0.35">
      <c r="B292" t="s">
        <v>744</v>
      </c>
      <c r="C292" t="s">
        <v>1340</v>
      </c>
    </row>
    <row r="293" spans="1:3" x14ac:dyDescent="0.35">
      <c r="A293" t="s">
        <v>741</v>
      </c>
      <c r="B293" t="s">
        <v>740</v>
      </c>
      <c r="C293" t="s">
        <v>1321</v>
      </c>
    </row>
    <row r="294" spans="1:3" x14ac:dyDescent="0.35">
      <c r="A294" t="s">
        <v>739</v>
      </c>
      <c r="B294" t="s">
        <v>738</v>
      </c>
      <c r="C294" t="s">
        <v>1321</v>
      </c>
    </row>
    <row r="295" spans="1:3" x14ac:dyDescent="0.35">
      <c r="A295" t="s">
        <v>737</v>
      </c>
      <c r="B295" t="s">
        <v>736</v>
      </c>
      <c r="C295" t="s">
        <v>1342</v>
      </c>
    </row>
    <row r="296" spans="1:3" x14ac:dyDescent="0.35">
      <c r="A296" t="s">
        <v>735</v>
      </c>
      <c r="B296" t="s">
        <v>734</v>
      </c>
      <c r="C296" t="s">
        <v>1345</v>
      </c>
    </row>
    <row r="297" spans="1:3" x14ac:dyDescent="0.35">
      <c r="A297" t="s">
        <v>733</v>
      </c>
      <c r="B297" t="s">
        <v>732</v>
      </c>
      <c r="C297" t="s">
        <v>1339</v>
      </c>
    </row>
    <row r="298" spans="1:3" x14ac:dyDescent="0.35">
      <c r="A298" t="s">
        <v>731</v>
      </c>
      <c r="B298" t="s">
        <v>730</v>
      </c>
      <c r="C298" t="s">
        <v>1342</v>
      </c>
    </row>
    <row r="299" spans="1:3" x14ac:dyDescent="0.35">
      <c r="A299" t="s">
        <v>729</v>
      </c>
      <c r="B299" t="s">
        <v>728</v>
      </c>
      <c r="C299" t="s">
        <v>1321</v>
      </c>
    </row>
    <row r="300" spans="1:3" x14ac:dyDescent="0.35">
      <c r="A300" t="s">
        <v>727</v>
      </c>
      <c r="B300" t="s">
        <v>726</v>
      </c>
      <c r="C300" t="s">
        <v>1342</v>
      </c>
    </row>
    <row r="301" spans="1:3" x14ac:dyDescent="0.35">
      <c r="A301" t="s">
        <v>725</v>
      </c>
      <c r="B301" t="s">
        <v>724</v>
      </c>
      <c r="C301" t="s">
        <v>1338</v>
      </c>
    </row>
    <row r="302" spans="1:3" x14ac:dyDescent="0.35">
      <c r="A302" t="s">
        <v>723</v>
      </c>
      <c r="B302" t="s">
        <v>722</v>
      </c>
      <c r="C302" t="s">
        <v>1342</v>
      </c>
    </row>
    <row r="303" spans="1:3" x14ac:dyDescent="0.35">
      <c r="A303" t="s">
        <v>721</v>
      </c>
      <c r="B303" t="s">
        <v>720</v>
      </c>
      <c r="C303" t="s">
        <v>1315</v>
      </c>
    </row>
    <row r="304" spans="1:3" x14ac:dyDescent="0.35">
      <c r="A304" t="s">
        <v>719</v>
      </c>
      <c r="B304" t="s">
        <v>718</v>
      </c>
      <c r="C304" t="s">
        <v>1339</v>
      </c>
    </row>
    <row r="305" spans="1:3" x14ac:dyDescent="0.35">
      <c r="A305" t="s">
        <v>717</v>
      </c>
      <c r="B305" t="s">
        <v>716</v>
      </c>
      <c r="C305" t="s">
        <v>1339</v>
      </c>
    </row>
    <row r="306" spans="1:3" x14ac:dyDescent="0.35">
      <c r="A306" t="s">
        <v>715</v>
      </c>
      <c r="B306" t="s">
        <v>714</v>
      </c>
      <c r="C306" t="s">
        <v>1342</v>
      </c>
    </row>
    <row r="307" spans="1:3" x14ac:dyDescent="0.35">
      <c r="A307" t="s">
        <v>713</v>
      </c>
      <c r="B307" t="s">
        <v>712</v>
      </c>
      <c r="C307" t="s">
        <v>1338</v>
      </c>
    </row>
    <row r="308" spans="1:3" x14ac:dyDescent="0.35">
      <c r="A308" t="s">
        <v>711</v>
      </c>
      <c r="B308" t="s">
        <v>710</v>
      </c>
      <c r="C308" t="s">
        <v>1357</v>
      </c>
    </row>
    <row r="309" spans="1:3" x14ac:dyDescent="0.35">
      <c r="A309" t="s">
        <v>709</v>
      </c>
      <c r="B309" t="s">
        <v>708</v>
      </c>
      <c r="C309" t="s">
        <v>1357</v>
      </c>
    </row>
    <row r="310" spans="1:3" x14ac:dyDescent="0.35">
      <c r="A310" t="s">
        <v>707</v>
      </c>
      <c r="B310" t="s">
        <v>706</v>
      </c>
      <c r="C310" t="s">
        <v>1341</v>
      </c>
    </row>
    <row r="311" spans="1:3" x14ac:dyDescent="0.35">
      <c r="A311" t="s">
        <v>705</v>
      </c>
      <c r="B311" t="s">
        <v>704</v>
      </c>
      <c r="C311" t="s">
        <v>1350</v>
      </c>
    </row>
    <row r="312" spans="1:3" x14ac:dyDescent="0.35">
      <c r="A312" t="s">
        <v>703</v>
      </c>
      <c r="B312" t="s">
        <v>702</v>
      </c>
      <c r="C312" t="s">
        <v>1321</v>
      </c>
    </row>
    <row r="313" spans="1:3" x14ac:dyDescent="0.35">
      <c r="A313" t="s">
        <v>701</v>
      </c>
      <c r="B313" t="s">
        <v>700</v>
      </c>
      <c r="C313" t="s">
        <v>1321</v>
      </c>
    </row>
    <row r="314" spans="1:3" x14ac:dyDescent="0.35">
      <c r="A314" t="s">
        <v>699</v>
      </c>
      <c r="B314" t="s">
        <v>698</v>
      </c>
      <c r="C314" t="s">
        <v>1321</v>
      </c>
    </row>
    <row r="315" spans="1:3" x14ac:dyDescent="0.35">
      <c r="A315" t="s">
        <v>697</v>
      </c>
      <c r="B315" t="s">
        <v>696</v>
      </c>
      <c r="C315" t="s">
        <v>1347</v>
      </c>
    </row>
    <row r="316" spans="1:3" x14ac:dyDescent="0.35">
      <c r="A316" t="s">
        <v>695</v>
      </c>
      <c r="B316" t="s">
        <v>694</v>
      </c>
      <c r="C316" t="s">
        <v>1315</v>
      </c>
    </row>
    <row r="317" spans="1:3" x14ac:dyDescent="0.35">
      <c r="A317" t="s">
        <v>693</v>
      </c>
      <c r="B317" t="s">
        <v>692</v>
      </c>
      <c r="C317" t="s">
        <v>1315</v>
      </c>
    </row>
    <row r="318" spans="1:3" x14ac:dyDescent="0.35">
      <c r="A318" t="s">
        <v>691</v>
      </c>
      <c r="B318" t="s">
        <v>690</v>
      </c>
      <c r="C318" t="s">
        <v>1357</v>
      </c>
    </row>
    <row r="319" spans="1:3" x14ac:dyDescent="0.35">
      <c r="A319" t="s">
        <v>688</v>
      </c>
      <c r="B319" t="s">
        <v>689</v>
      </c>
      <c r="C319" t="s">
        <v>1347</v>
      </c>
    </row>
    <row r="320" spans="1:3" x14ac:dyDescent="0.35">
      <c r="B320" t="s">
        <v>687</v>
      </c>
      <c r="C320" t="s">
        <v>1347</v>
      </c>
    </row>
    <row r="321" spans="1:3" x14ac:dyDescent="0.35">
      <c r="A321" t="s">
        <v>686</v>
      </c>
      <c r="B321" t="s">
        <v>685</v>
      </c>
      <c r="C321" t="s">
        <v>1337</v>
      </c>
    </row>
    <row r="322" spans="1:3" x14ac:dyDescent="0.35">
      <c r="A322" t="s">
        <v>684</v>
      </c>
      <c r="B322" t="s">
        <v>683</v>
      </c>
      <c r="C322" t="s">
        <v>1315</v>
      </c>
    </row>
    <row r="323" spans="1:3" x14ac:dyDescent="0.35">
      <c r="A323" t="s">
        <v>682</v>
      </c>
      <c r="B323" t="s">
        <v>681</v>
      </c>
      <c r="C323" t="s">
        <v>1315</v>
      </c>
    </row>
    <row r="324" spans="1:3" x14ac:dyDescent="0.35">
      <c r="A324" t="s">
        <v>680</v>
      </c>
      <c r="B324" t="s">
        <v>679</v>
      </c>
      <c r="C324" t="s">
        <v>1314</v>
      </c>
    </row>
    <row r="325" spans="1:3" x14ac:dyDescent="0.35">
      <c r="A325" t="s">
        <v>678</v>
      </c>
      <c r="B325" t="s">
        <v>677</v>
      </c>
      <c r="C325" t="s">
        <v>1319</v>
      </c>
    </row>
    <row r="326" spans="1:3" x14ac:dyDescent="0.35">
      <c r="A326" t="s">
        <v>676</v>
      </c>
      <c r="B326" t="s">
        <v>675</v>
      </c>
      <c r="C326" t="s">
        <v>1323</v>
      </c>
    </row>
    <row r="327" spans="1:3" x14ac:dyDescent="0.35">
      <c r="A327" t="s">
        <v>674</v>
      </c>
      <c r="B327" t="s">
        <v>673</v>
      </c>
      <c r="C327" t="s">
        <v>1323</v>
      </c>
    </row>
    <row r="328" spans="1:3" x14ac:dyDescent="0.35">
      <c r="A328" t="s">
        <v>672</v>
      </c>
      <c r="B328" t="s">
        <v>671</v>
      </c>
      <c r="C328" t="s">
        <v>1323</v>
      </c>
    </row>
    <row r="329" spans="1:3" x14ac:dyDescent="0.35">
      <c r="A329" t="s">
        <v>670</v>
      </c>
      <c r="B329" t="s">
        <v>669</v>
      </c>
      <c r="C329" t="s">
        <v>1314</v>
      </c>
    </row>
    <row r="330" spans="1:3" x14ac:dyDescent="0.35">
      <c r="A330" t="s">
        <v>668</v>
      </c>
      <c r="B330" t="s">
        <v>667</v>
      </c>
      <c r="C330" t="s">
        <v>1319</v>
      </c>
    </row>
    <row r="331" spans="1:3" x14ac:dyDescent="0.35">
      <c r="A331" t="s">
        <v>665</v>
      </c>
      <c r="B331" t="s">
        <v>664</v>
      </c>
      <c r="C331" t="s">
        <v>1314</v>
      </c>
    </row>
    <row r="332" spans="1:3" x14ac:dyDescent="0.35">
      <c r="A332" t="s">
        <v>663</v>
      </c>
      <c r="B332" t="s">
        <v>662</v>
      </c>
      <c r="C332" t="s">
        <v>1314</v>
      </c>
    </row>
    <row r="333" spans="1:3" x14ac:dyDescent="0.35">
      <c r="A333" t="s">
        <v>661</v>
      </c>
      <c r="B333" t="s">
        <v>660</v>
      </c>
      <c r="C333" t="s">
        <v>1314</v>
      </c>
    </row>
    <row r="334" spans="1:3" x14ac:dyDescent="0.35">
      <c r="A334" t="s">
        <v>659</v>
      </c>
      <c r="B334" t="s">
        <v>657</v>
      </c>
      <c r="C334" t="s">
        <v>1314</v>
      </c>
    </row>
    <row r="335" spans="1:3" x14ac:dyDescent="0.35">
      <c r="A335" t="s">
        <v>658</v>
      </c>
      <c r="B335" t="s">
        <v>657</v>
      </c>
      <c r="C335" t="s">
        <v>1314</v>
      </c>
    </row>
    <row r="336" spans="1:3" x14ac:dyDescent="0.35">
      <c r="A336" t="s">
        <v>656</v>
      </c>
      <c r="B336" t="s">
        <v>655</v>
      </c>
      <c r="C336" t="s">
        <v>1314</v>
      </c>
    </row>
    <row r="337" spans="1:3" x14ac:dyDescent="0.35">
      <c r="A337" t="s">
        <v>654</v>
      </c>
      <c r="B337" t="s">
        <v>653</v>
      </c>
      <c r="C337" t="s">
        <v>1338</v>
      </c>
    </row>
    <row r="338" spans="1:3" x14ac:dyDescent="0.35">
      <c r="A338" t="s">
        <v>644</v>
      </c>
      <c r="B338" t="s">
        <v>652</v>
      </c>
      <c r="C338" t="s">
        <v>1314</v>
      </c>
    </row>
    <row r="339" spans="1:3" x14ac:dyDescent="0.35">
      <c r="B339" t="s">
        <v>642</v>
      </c>
      <c r="C339" t="s">
        <v>1314</v>
      </c>
    </row>
    <row r="340" spans="1:3" x14ac:dyDescent="0.35">
      <c r="C340" t="s">
        <v>1315</v>
      </c>
    </row>
    <row r="341" spans="1:3" x14ac:dyDescent="0.35">
      <c r="C341" t="s">
        <v>1316</v>
      </c>
    </row>
    <row r="342" spans="1:3" x14ac:dyDescent="0.35">
      <c r="C342" t="s">
        <v>1318</v>
      </c>
    </row>
    <row r="343" spans="1:3" x14ac:dyDescent="0.35">
      <c r="C343" t="s">
        <v>1320</v>
      </c>
    </row>
    <row r="344" spans="1:3" x14ac:dyDescent="0.35">
      <c r="C344" t="s">
        <v>1322</v>
      </c>
    </row>
    <row r="345" spans="1:3" x14ac:dyDescent="0.35">
      <c r="C345" t="s">
        <v>1323</v>
      </c>
    </row>
    <row r="346" spans="1:3" x14ac:dyDescent="0.35">
      <c r="C346" t="s">
        <v>1324</v>
      </c>
    </row>
    <row r="347" spans="1:3" x14ac:dyDescent="0.35">
      <c r="A347" t="s">
        <v>641</v>
      </c>
      <c r="B347" t="s">
        <v>639</v>
      </c>
      <c r="C347" t="s">
        <v>1314</v>
      </c>
    </row>
    <row r="348" spans="1:3" x14ac:dyDescent="0.35">
      <c r="A348" t="s">
        <v>640</v>
      </c>
      <c r="B348" t="s">
        <v>639</v>
      </c>
      <c r="C348" t="s">
        <v>1324</v>
      </c>
    </row>
    <row r="349" spans="1:3" x14ac:dyDescent="0.35">
      <c r="A349" t="s">
        <v>638</v>
      </c>
      <c r="B349" t="s">
        <v>637</v>
      </c>
      <c r="C349" t="s">
        <v>1322</v>
      </c>
    </row>
    <row r="350" spans="1:3" x14ac:dyDescent="0.35">
      <c r="A350" t="s">
        <v>636</v>
      </c>
      <c r="B350" t="s">
        <v>635</v>
      </c>
      <c r="C350" t="s">
        <v>1345</v>
      </c>
    </row>
    <row r="351" spans="1:3" x14ac:dyDescent="0.35">
      <c r="A351" t="s">
        <v>634</v>
      </c>
      <c r="B351" t="s">
        <v>633</v>
      </c>
      <c r="C351" t="s">
        <v>1338</v>
      </c>
    </row>
    <row r="352" spans="1:3" x14ac:dyDescent="0.35">
      <c r="A352" t="s">
        <v>632</v>
      </c>
      <c r="B352" t="s">
        <v>631</v>
      </c>
      <c r="C352" t="s">
        <v>1338</v>
      </c>
    </row>
    <row r="353" spans="1:3" x14ac:dyDescent="0.35">
      <c r="A353" t="s">
        <v>630</v>
      </c>
      <c r="B353" t="s">
        <v>611</v>
      </c>
      <c r="C353" t="s">
        <v>1323</v>
      </c>
    </row>
    <row r="354" spans="1:3" x14ac:dyDescent="0.35">
      <c r="A354" t="s">
        <v>629</v>
      </c>
      <c r="B354" t="s">
        <v>626</v>
      </c>
      <c r="C354" t="s">
        <v>1323</v>
      </c>
    </row>
    <row r="355" spans="1:3" x14ac:dyDescent="0.35">
      <c r="A355" t="s">
        <v>628</v>
      </c>
      <c r="B355" t="s">
        <v>626</v>
      </c>
      <c r="C355" t="s">
        <v>1323</v>
      </c>
    </row>
    <row r="356" spans="1:3" x14ac:dyDescent="0.35">
      <c r="A356" t="s">
        <v>627</v>
      </c>
      <c r="B356" t="s">
        <v>626</v>
      </c>
      <c r="C356" t="s">
        <v>1323</v>
      </c>
    </row>
    <row r="357" spans="1:3" x14ac:dyDescent="0.35">
      <c r="A357" t="s">
        <v>625</v>
      </c>
      <c r="B357" t="s">
        <v>624</v>
      </c>
      <c r="C357" t="s">
        <v>1314</v>
      </c>
    </row>
    <row r="358" spans="1:3" x14ac:dyDescent="0.35">
      <c r="A358" t="s">
        <v>623</v>
      </c>
      <c r="B358" t="s">
        <v>622</v>
      </c>
      <c r="C358" t="s">
        <v>1314</v>
      </c>
    </row>
    <row r="359" spans="1:3" x14ac:dyDescent="0.35">
      <c r="A359" t="s">
        <v>621</v>
      </c>
      <c r="B359" t="s">
        <v>620</v>
      </c>
      <c r="C359" t="s">
        <v>1314</v>
      </c>
    </row>
    <row r="360" spans="1:3" x14ac:dyDescent="0.35">
      <c r="A360" t="s">
        <v>619</v>
      </c>
      <c r="B360" t="s">
        <v>618</v>
      </c>
      <c r="C360" t="s">
        <v>1314</v>
      </c>
    </row>
    <row r="361" spans="1:3" x14ac:dyDescent="0.35">
      <c r="A361" t="s">
        <v>617</v>
      </c>
      <c r="B361" t="s">
        <v>616</v>
      </c>
      <c r="C361" t="s">
        <v>1314</v>
      </c>
    </row>
    <row r="362" spans="1:3" x14ac:dyDescent="0.35">
      <c r="A362" t="s">
        <v>615</v>
      </c>
      <c r="B362" t="s">
        <v>614</v>
      </c>
      <c r="C362" t="s">
        <v>1314</v>
      </c>
    </row>
    <row r="363" spans="1:3" x14ac:dyDescent="0.35">
      <c r="A363" t="s">
        <v>613</v>
      </c>
      <c r="B363" t="s">
        <v>611</v>
      </c>
      <c r="C363" t="s">
        <v>1316</v>
      </c>
    </row>
    <row r="364" spans="1:3" x14ac:dyDescent="0.35">
      <c r="A364" t="s">
        <v>612</v>
      </c>
      <c r="B364" t="s">
        <v>611</v>
      </c>
      <c r="C364" t="s">
        <v>1314</v>
      </c>
    </row>
    <row r="365" spans="1:3" x14ac:dyDescent="0.35">
      <c r="A365" t="s">
        <v>610</v>
      </c>
      <c r="B365" t="s">
        <v>609</v>
      </c>
      <c r="C365" t="s">
        <v>1323</v>
      </c>
    </row>
    <row r="366" spans="1:3" x14ac:dyDescent="0.35">
      <c r="A366" t="s">
        <v>608</v>
      </c>
      <c r="B366" t="s">
        <v>607</v>
      </c>
      <c r="C366" t="s">
        <v>1314</v>
      </c>
    </row>
    <row r="367" spans="1:3" x14ac:dyDescent="0.35">
      <c r="A367" t="s">
        <v>606</v>
      </c>
      <c r="B367" t="s">
        <v>605</v>
      </c>
      <c r="C367" t="s">
        <v>1314</v>
      </c>
    </row>
    <row r="368" spans="1:3" x14ac:dyDescent="0.35">
      <c r="A368" t="s">
        <v>604</v>
      </c>
      <c r="B368" t="s">
        <v>602</v>
      </c>
      <c r="C368" t="s">
        <v>1324</v>
      </c>
    </row>
    <row r="369" spans="1:3" x14ac:dyDescent="0.35">
      <c r="A369" t="s">
        <v>603</v>
      </c>
      <c r="B369" t="s">
        <v>602</v>
      </c>
      <c r="C369" t="s">
        <v>1324</v>
      </c>
    </row>
    <row r="370" spans="1:3" x14ac:dyDescent="0.35">
      <c r="A370" t="s">
        <v>601</v>
      </c>
      <c r="B370" t="s">
        <v>599</v>
      </c>
      <c r="C370" t="s">
        <v>1319</v>
      </c>
    </row>
    <row r="371" spans="1:3" x14ac:dyDescent="0.35">
      <c r="A371" t="s">
        <v>600</v>
      </c>
      <c r="B371" t="s">
        <v>599</v>
      </c>
      <c r="C371" t="s">
        <v>1319</v>
      </c>
    </row>
    <row r="372" spans="1:3" x14ac:dyDescent="0.35">
      <c r="A372" t="s">
        <v>598</v>
      </c>
      <c r="B372" t="s">
        <v>596</v>
      </c>
      <c r="C372" t="s">
        <v>1314</v>
      </c>
    </row>
    <row r="373" spans="1:3" x14ac:dyDescent="0.35">
      <c r="A373" t="s">
        <v>597</v>
      </c>
      <c r="B373" t="s">
        <v>596</v>
      </c>
      <c r="C373" t="s">
        <v>1314</v>
      </c>
    </row>
    <row r="374" spans="1:3" x14ac:dyDescent="0.35">
      <c r="A374" t="s">
        <v>595</v>
      </c>
      <c r="B374" t="s">
        <v>588</v>
      </c>
      <c r="C374" t="s">
        <v>1314</v>
      </c>
    </row>
    <row r="375" spans="1:3" x14ac:dyDescent="0.35">
      <c r="A375" t="s">
        <v>594</v>
      </c>
      <c r="B375" t="s">
        <v>588</v>
      </c>
      <c r="C375" t="s">
        <v>1314</v>
      </c>
    </row>
    <row r="376" spans="1:3" x14ac:dyDescent="0.35">
      <c r="A376" t="s">
        <v>593</v>
      </c>
      <c r="B376" t="s">
        <v>588</v>
      </c>
      <c r="C376" t="s">
        <v>1314</v>
      </c>
    </row>
    <row r="377" spans="1:3" x14ac:dyDescent="0.35">
      <c r="A377" t="s">
        <v>592</v>
      </c>
      <c r="B377" t="s">
        <v>588</v>
      </c>
      <c r="C377" t="s">
        <v>1314</v>
      </c>
    </row>
    <row r="378" spans="1:3" x14ac:dyDescent="0.35">
      <c r="A378" t="s">
        <v>591</v>
      </c>
      <c r="B378" t="s">
        <v>588</v>
      </c>
      <c r="C378" t="s">
        <v>1314</v>
      </c>
    </row>
    <row r="379" spans="1:3" x14ac:dyDescent="0.35">
      <c r="A379" t="s">
        <v>590</v>
      </c>
      <c r="B379" t="s">
        <v>588</v>
      </c>
      <c r="C379" t="s">
        <v>1314</v>
      </c>
    </row>
    <row r="380" spans="1:3" x14ac:dyDescent="0.35">
      <c r="A380" t="s">
        <v>589</v>
      </c>
      <c r="B380" t="s">
        <v>588</v>
      </c>
      <c r="C380" t="s">
        <v>1314</v>
      </c>
    </row>
    <row r="381" spans="1:3" x14ac:dyDescent="0.35">
      <c r="A381" t="s">
        <v>587</v>
      </c>
      <c r="B381" t="s">
        <v>586</v>
      </c>
      <c r="C381" t="s">
        <v>1314</v>
      </c>
    </row>
    <row r="382" spans="1:3" x14ac:dyDescent="0.35">
      <c r="A382" t="s">
        <v>585</v>
      </c>
      <c r="B382" t="s">
        <v>584</v>
      </c>
      <c r="C382" t="s">
        <v>1314</v>
      </c>
    </row>
    <row r="383" spans="1:3" x14ac:dyDescent="0.35">
      <c r="A383" t="s">
        <v>583</v>
      </c>
      <c r="B383" t="s">
        <v>582</v>
      </c>
      <c r="C383" t="s">
        <v>1324</v>
      </c>
    </row>
    <row r="384" spans="1:3" x14ac:dyDescent="0.35">
      <c r="A384" t="s">
        <v>581</v>
      </c>
      <c r="B384" t="s">
        <v>580</v>
      </c>
      <c r="C384" t="s">
        <v>1324</v>
      </c>
    </row>
    <row r="385" spans="1:3" x14ac:dyDescent="0.35">
      <c r="A385" t="s">
        <v>579</v>
      </c>
      <c r="B385" t="s">
        <v>578</v>
      </c>
      <c r="C385" t="s">
        <v>1315</v>
      </c>
    </row>
    <row r="386" spans="1:3" x14ac:dyDescent="0.35">
      <c r="A386" t="s">
        <v>576</v>
      </c>
      <c r="B386" t="s">
        <v>577</v>
      </c>
      <c r="C386" t="s">
        <v>1356</v>
      </c>
    </row>
    <row r="387" spans="1:3" x14ac:dyDescent="0.35">
      <c r="B387" t="s">
        <v>575</v>
      </c>
      <c r="C387" t="s">
        <v>1356</v>
      </c>
    </row>
    <row r="388" spans="1:3" x14ac:dyDescent="0.35">
      <c r="A388" t="s">
        <v>574</v>
      </c>
      <c r="B388" t="s">
        <v>573</v>
      </c>
      <c r="C388" t="s">
        <v>1346</v>
      </c>
    </row>
    <row r="389" spans="1:3" x14ac:dyDescent="0.35">
      <c r="A389" t="s">
        <v>572</v>
      </c>
      <c r="B389" t="s">
        <v>571</v>
      </c>
      <c r="C389" t="s">
        <v>1320</v>
      </c>
    </row>
    <row r="390" spans="1:3" x14ac:dyDescent="0.35">
      <c r="A390" t="s">
        <v>570</v>
      </c>
      <c r="B390" t="s">
        <v>566</v>
      </c>
      <c r="C390" t="s">
        <v>1324</v>
      </c>
    </row>
    <row r="391" spans="1:3" x14ac:dyDescent="0.35">
      <c r="A391" t="s">
        <v>569</v>
      </c>
      <c r="B391" t="s">
        <v>566</v>
      </c>
      <c r="C391" t="s">
        <v>1324</v>
      </c>
    </row>
    <row r="392" spans="1:3" x14ac:dyDescent="0.35">
      <c r="A392" t="s">
        <v>568</v>
      </c>
      <c r="B392" t="s">
        <v>566</v>
      </c>
      <c r="C392" t="s">
        <v>1324</v>
      </c>
    </row>
    <row r="393" spans="1:3" x14ac:dyDescent="0.35">
      <c r="A393" t="s">
        <v>567</v>
      </c>
      <c r="B393" t="s">
        <v>566</v>
      </c>
      <c r="C393" t="s">
        <v>1322</v>
      </c>
    </row>
    <row r="394" spans="1:3" x14ac:dyDescent="0.35">
      <c r="A394" t="s">
        <v>565</v>
      </c>
      <c r="B394" t="s">
        <v>564</v>
      </c>
      <c r="C394" t="s">
        <v>1322</v>
      </c>
    </row>
    <row r="395" spans="1:3" x14ac:dyDescent="0.35">
      <c r="A395" t="s">
        <v>563</v>
      </c>
      <c r="B395" t="s">
        <v>562</v>
      </c>
      <c r="C395" t="s">
        <v>1322</v>
      </c>
    </row>
    <row r="396" spans="1:3" x14ac:dyDescent="0.35">
      <c r="A396" t="s">
        <v>561</v>
      </c>
      <c r="B396" t="s">
        <v>560</v>
      </c>
      <c r="C396" t="s">
        <v>1321</v>
      </c>
    </row>
    <row r="397" spans="1:3" x14ac:dyDescent="0.35">
      <c r="A397" t="s">
        <v>559</v>
      </c>
      <c r="B397" t="s">
        <v>558</v>
      </c>
      <c r="C397" t="s">
        <v>1314</v>
      </c>
    </row>
    <row r="398" spans="1:3" x14ac:dyDescent="0.35">
      <c r="A398" t="s">
        <v>557</v>
      </c>
      <c r="B398" t="s">
        <v>556</v>
      </c>
      <c r="C398" t="s">
        <v>1352</v>
      </c>
    </row>
    <row r="399" spans="1:3" x14ac:dyDescent="0.35">
      <c r="A399" t="s">
        <v>555</v>
      </c>
      <c r="B399" t="s">
        <v>554</v>
      </c>
      <c r="C399" t="s">
        <v>1314</v>
      </c>
    </row>
    <row r="400" spans="1:3" x14ac:dyDescent="0.35">
      <c r="A400" t="s">
        <v>553</v>
      </c>
      <c r="B400" t="s">
        <v>552</v>
      </c>
      <c r="C400" t="s">
        <v>1321</v>
      </c>
    </row>
    <row r="401" spans="1:3" x14ac:dyDescent="0.35">
      <c r="A401" t="s">
        <v>551</v>
      </c>
      <c r="B401" t="s">
        <v>428</v>
      </c>
      <c r="C401" t="s">
        <v>1352</v>
      </c>
    </row>
    <row r="402" spans="1:3" x14ac:dyDescent="0.35">
      <c r="A402" t="s">
        <v>550</v>
      </c>
      <c r="B402" t="s">
        <v>426</v>
      </c>
      <c r="C402" t="s">
        <v>1352</v>
      </c>
    </row>
    <row r="403" spans="1:3" x14ac:dyDescent="0.35">
      <c r="A403" t="s">
        <v>549</v>
      </c>
      <c r="B403" t="s">
        <v>424</v>
      </c>
      <c r="C403" t="s">
        <v>1352</v>
      </c>
    </row>
    <row r="404" spans="1:3" x14ac:dyDescent="0.35">
      <c r="A404" t="s">
        <v>548</v>
      </c>
      <c r="B404" t="s">
        <v>547</v>
      </c>
      <c r="C404" t="s">
        <v>1324</v>
      </c>
    </row>
    <row r="405" spans="1:3" x14ac:dyDescent="0.35">
      <c r="A405" t="s">
        <v>546</v>
      </c>
      <c r="B405" t="s">
        <v>545</v>
      </c>
      <c r="C405" t="s">
        <v>1314</v>
      </c>
    </row>
    <row r="406" spans="1:3" x14ac:dyDescent="0.35">
      <c r="A406" t="s">
        <v>544</v>
      </c>
      <c r="B406" t="s">
        <v>543</v>
      </c>
      <c r="C406" t="s">
        <v>1321</v>
      </c>
    </row>
    <row r="407" spans="1:3" x14ac:dyDescent="0.35">
      <c r="A407" t="s">
        <v>542</v>
      </c>
      <c r="B407" t="s">
        <v>541</v>
      </c>
      <c r="C407" t="s">
        <v>1321</v>
      </c>
    </row>
    <row r="408" spans="1:3" x14ac:dyDescent="0.35">
      <c r="A408" t="s">
        <v>540</v>
      </c>
      <c r="B408" t="s">
        <v>539</v>
      </c>
      <c r="C408" t="s">
        <v>1363</v>
      </c>
    </row>
    <row r="409" spans="1:3" x14ac:dyDescent="0.35">
      <c r="A409" t="s">
        <v>538</v>
      </c>
      <c r="B409" t="s">
        <v>537</v>
      </c>
      <c r="C409" t="s">
        <v>1317</v>
      </c>
    </row>
    <row r="410" spans="1:3" x14ac:dyDescent="0.35">
      <c r="A410" t="s">
        <v>536</v>
      </c>
      <c r="B410" t="s">
        <v>535</v>
      </c>
      <c r="C410" t="s">
        <v>1346</v>
      </c>
    </row>
    <row r="411" spans="1:3" x14ac:dyDescent="0.35">
      <c r="A411" t="s">
        <v>534</v>
      </c>
      <c r="B411" t="s">
        <v>533</v>
      </c>
      <c r="C411" t="s">
        <v>1318</v>
      </c>
    </row>
    <row r="412" spans="1:3" x14ac:dyDescent="0.35">
      <c r="A412" t="s">
        <v>532</v>
      </c>
      <c r="B412" t="s">
        <v>531</v>
      </c>
      <c r="C412" t="s">
        <v>1314</v>
      </c>
    </row>
    <row r="413" spans="1:3" x14ac:dyDescent="0.35">
      <c r="A413" t="s">
        <v>530</v>
      </c>
      <c r="B413" t="s">
        <v>529</v>
      </c>
      <c r="C413" t="s">
        <v>1324</v>
      </c>
    </row>
    <row r="414" spans="1:3" x14ac:dyDescent="0.35">
      <c r="A414" t="s">
        <v>528</v>
      </c>
      <c r="B414" t="s">
        <v>527</v>
      </c>
      <c r="C414" t="s">
        <v>1314</v>
      </c>
    </row>
    <row r="415" spans="1:3" x14ac:dyDescent="0.35">
      <c r="A415" t="s">
        <v>526</v>
      </c>
      <c r="B415" t="s">
        <v>525</v>
      </c>
      <c r="C415" t="s">
        <v>1323</v>
      </c>
    </row>
    <row r="416" spans="1:3" x14ac:dyDescent="0.35">
      <c r="A416" t="s">
        <v>524</v>
      </c>
      <c r="B416" t="s">
        <v>523</v>
      </c>
      <c r="C416" t="s">
        <v>1314</v>
      </c>
    </row>
    <row r="417" spans="1:3" x14ac:dyDescent="0.35">
      <c r="A417" t="s">
        <v>521</v>
      </c>
      <c r="B417" t="s">
        <v>520</v>
      </c>
      <c r="C417" t="s">
        <v>1323</v>
      </c>
    </row>
    <row r="418" spans="1:3" x14ac:dyDescent="0.35">
      <c r="A418" t="s">
        <v>519</v>
      </c>
      <c r="B418" t="s">
        <v>518</v>
      </c>
      <c r="C418" t="s">
        <v>1323</v>
      </c>
    </row>
    <row r="419" spans="1:3" x14ac:dyDescent="0.35">
      <c r="A419" t="s">
        <v>517</v>
      </c>
      <c r="B419" t="s">
        <v>516</v>
      </c>
      <c r="C419" t="s">
        <v>1323</v>
      </c>
    </row>
    <row r="420" spans="1:3" x14ac:dyDescent="0.35">
      <c r="A420" t="s">
        <v>515</v>
      </c>
      <c r="B420" t="s">
        <v>514</v>
      </c>
      <c r="C420" t="s">
        <v>1323</v>
      </c>
    </row>
    <row r="421" spans="1:3" x14ac:dyDescent="0.35">
      <c r="A421" t="s">
        <v>513</v>
      </c>
      <c r="B421" t="s">
        <v>512</v>
      </c>
      <c r="C421" t="s">
        <v>1317</v>
      </c>
    </row>
    <row r="422" spans="1:3" x14ac:dyDescent="0.35">
      <c r="A422" t="s">
        <v>511</v>
      </c>
      <c r="B422" t="s">
        <v>510</v>
      </c>
      <c r="C422" t="s">
        <v>1352</v>
      </c>
    </row>
    <row r="423" spans="1:3" x14ac:dyDescent="0.35">
      <c r="A423" t="s">
        <v>509</v>
      </c>
      <c r="B423" t="s">
        <v>508</v>
      </c>
      <c r="C423" t="s">
        <v>1321</v>
      </c>
    </row>
    <row r="424" spans="1:3" x14ac:dyDescent="0.35">
      <c r="A424" t="s">
        <v>507</v>
      </c>
      <c r="B424" t="s">
        <v>506</v>
      </c>
      <c r="C424" t="s">
        <v>1357</v>
      </c>
    </row>
    <row r="425" spans="1:3" x14ac:dyDescent="0.35">
      <c r="A425" t="s">
        <v>505</v>
      </c>
      <c r="B425" t="s">
        <v>504</v>
      </c>
      <c r="C425" t="s">
        <v>1315</v>
      </c>
    </row>
    <row r="426" spans="1:3" x14ac:dyDescent="0.35">
      <c r="A426" t="s">
        <v>503</v>
      </c>
      <c r="B426" t="s">
        <v>502</v>
      </c>
      <c r="C426" t="s">
        <v>1347</v>
      </c>
    </row>
    <row r="427" spans="1:3" x14ac:dyDescent="0.35">
      <c r="A427" t="s">
        <v>501</v>
      </c>
      <c r="B427" t="s">
        <v>500</v>
      </c>
      <c r="C427" t="s">
        <v>1315</v>
      </c>
    </row>
    <row r="428" spans="1:3" x14ac:dyDescent="0.35">
      <c r="A428" t="s">
        <v>499</v>
      </c>
      <c r="B428" t="s">
        <v>498</v>
      </c>
      <c r="C428" t="s">
        <v>1324</v>
      </c>
    </row>
    <row r="429" spans="1:3" x14ac:dyDescent="0.35">
      <c r="A429" t="s">
        <v>497</v>
      </c>
      <c r="B429" t="s">
        <v>494</v>
      </c>
      <c r="C429" t="s">
        <v>1318</v>
      </c>
    </row>
    <row r="430" spans="1:3" x14ac:dyDescent="0.35">
      <c r="A430" t="s">
        <v>496</v>
      </c>
      <c r="B430" t="s">
        <v>494</v>
      </c>
      <c r="C430" t="s">
        <v>1319</v>
      </c>
    </row>
    <row r="431" spans="1:3" x14ac:dyDescent="0.35">
      <c r="A431" t="s">
        <v>495</v>
      </c>
      <c r="B431" t="s">
        <v>494</v>
      </c>
      <c r="C431" t="s">
        <v>1316</v>
      </c>
    </row>
    <row r="432" spans="1:3" x14ac:dyDescent="0.35">
      <c r="A432" t="s">
        <v>493</v>
      </c>
      <c r="B432" t="s">
        <v>492</v>
      </c>
      <c r="C432" t="s">
        <v>1346</v>
      </c>
    </row>
    <row r="433" spans="1:3" x14ac:dyDescent="0.35">
      <c r="A433" t="s">
        <v>491</v>
      </c>
      <c r="B433" t="s">
        <v>488</v>
      </c>
      <c r="C433" t="s">
        <v>1324</v>
      </c>
    </row>
    <row r="434" spans="1:3" x14ac:dyDescent="0.35">
      <c r="A434" t="s">
        <v>490</v>
      </c>
      <c r="B434" t="s">
        <v>488</v>
      </c>
      <c r="C434" t="s">
        <v>1324</v>
      </c>
    </row>
    <row r="435" spans="1:3" x14ac:dyDescent="0.35">
      <c r="A435" t="s">
        <v>489</v>
      </c>
      <c r="B435" t="s">
        <v>488</v>
      </c>
      <c r="C435" t="s">
        <v>1314</v>
      </c>
    </row>
    <row r="436" spans="1:3" x14ac:dyDescent="0.35">
      <c r="A436" t="s">
        <v>487</v>
      </c>
      <c r="B436" t="s">
        <v>486</v>
      </c>
      <c r="C436" t="s">
        <v>1314</v>
      </c>
    </row>
    <row r="437" spans="1:3" x14ac:dyDescent="0.35">
      <c r="A437" t="s">
        <v>485</v>
      </c>
      <c r="B437" t="s">
        <v>484</v>
      </c>
      <c r="C437" t="s">
        <v>1321</v>
      </c>
    </row>
    <row r="438" spans="1:3" x14ac:dyDescent="0.35">
      <c r="A438" t="s">
        <v>483</v>
      </c>
      <c r="B438" t="s">
        <v>481</v>
      </c>
      <c r="C438" t="s">
        <v>1323</v>
      </c>
    </row>
    <row r="439" spans="1:3" x14ac:dyDescent="0.35">
      <c r="A439" t="s">
        <v>482</v>
      </c>
      <c r="B439" t="s">
        <v>481</v>
      </c>
      <c r="C439" t="s">
        <v>1323</v>
      </c>
    </row>
    <row r="440" spans="1:3" x14ac:dyDescent="0.35">
      <c r="A440" t="s">
        <v>480</v>
      </c>
      <c r="B440" t="s">
        <v>477</v>
      </c>
      <c r="C440" t="s">
        <v>1323</v>
      </c>
    </row>
    <row r="441" spans="1:3" x14ac:dyDescent="0.35">
      <c r="A441" t="s">
        <v>479</v>
      </c>
      <c r="B441" t="s">
        <v>475</v>
      </c>
      <c r="C441" t="s">
        <v>1322</v>
      </c>
    </row>
    <row r="442" spans="1:3" x14ac:dyDescent="0.35">
      <c r="A442" t="s">
        <v>478</v>
      </c>
      <c r="B442" t="s">
        <v>477</v>
      </c>
      <c r="C442" t="s">
        <v>1323</v>
      </c>
    </row>
    <row r="443" spans="1:3" x14ac:dyDescent="0.35">
      <c r="A443" t="s">
        <v>476</v>
      </c>
      <c r="B443" t="s">
        <v>475</v>
      </c>
      <c r="C443" t="s">
        <v>1319</v>
      </c>
    </row>
    <row r="444" spans="1:3" x14ac:dyDescent="0.35">
      <c r="A444" t="s">
        <v>474</v>
      </c>
      <c r="B444" t="s">
        <v>473</v>
      </c>
      <c r="C444" t="s">
        <v>1321</v>
      </c>
    </row>
    <row r="445" spans="1:3" x14ac:dyDescent="0.35">
      <c r="A445" t="s">
        <v>472</v>
      </c>
      <c r="B445" t="s">
        <v>471</v>
      </c>
      <c r="C445" t="s">
        <v>1318</v>
      </c>
    </row>
    <row r="446" spans="1:3" x14ac:dyDescent="0.35">
      <c r="A446" t="s">
        <v>470</v>
      </c>
      <c r="B446" t="s">
        <v>469</v>
      </c>
      <c r="C446" t="s">
        <v>1317</v>
      </c>
    </row>
    <row r="447" spans="1:3" x14ac:dyDescent="0.35">
      <c r="A447" t="s">
        <v>468</v>
      </c>
      <c r="B447" t="s">
        <v>467</v>
      </c>
      <c r="C447" t="s">
        <v>1318</v>
      </c>
    </row>
    <row r="448" spans="1:3" x14ac:dyDescent="0.35">
      <c r="A448" t="s">
        <v>466</v>
      </c>
      <c r="B448" t="s">
        <v>465</v>
      </c>
      <c r="C448" t="s">
        <v>1318</v>
      </c>
    </row>
    <row r="449" spans="1:3" x14ac:dyDescent="0.35">
      <c r="A449" t="s">
        <v>463</v>
      </c>
      <c r="B449" t="s">
        <v>464</v>
      </c>
      <c r="C449" t="s">
        <v>1357</v>
      </c>
    </row>
    <row r="450" spans="1:3" x14ac:dyDescent="0.35">
      <c r="A450" t="s">
        <v>461</v>
      </c>
      <c r="B450" t="s">
        <v>460</v>
      </c>
      <c r="C450" t="s">
        <v>1352</v>
      </c>
    </row>
    <row r="451" spans="1:3" x14ac:dyDescent="0.35">
      <c r="A451" t="s">
        <v>459</v>
      </c>
      <c r="B451" t="s">
        <v>458</v>
      </c>
      <c r="C451" t="s">
        <v>1352</v>
      </c>
    </row>
    <row r="452" spans="1:3" x14ac:dyDescent="0.35">
      <c r="A452" t="s">
        <v>457</v>
      </c>
      <c r="B452" t="s">
        <v>455</v>
      </c>
      <c r="C452" t="s">
        <v>1315</v>
      </c>
    </row>
    <row r="453" spans="1:3" x14ac:dyDescent="0.35">
      <c r="A453" t="s">
        <v>456</v>
      </c>
      <c r="B453" t="s">
        <v>455</v>
      </c>
      <c r="C453" t="s">
        <v>1315</v>
      </c>
    </row>
    <row r="454" spans="1:3" x14ac:dyDescent="0.35">
      <c r="A454" t="s">
        <v>454</v>
      </c>
      <c r="B454" t="s">
        <v>451</v>
      </c>
      <c r="C454" t="s">
        <v>1314</v>
      </c>
    </row>
    <row r="455" spans="1:3" x14ac:dyDescent="0.35">
      <c r="A455" t="s">
        <v>453</v>
      </c>
      <c r="B455" t="s">
        <v>451</v>
      </c>
      <c r="C455" t="s">
        <v>1320</v>
      </c>
    </row>
    <row r="456" spans="1:3" x14ac:dyDescent="0.35">
      <c r="A456" t="s">
        <v>452</v>
      </c>
      <c r="B456" t="s">
        <v>451</v>
      </c>
      <c r="C456" t="s">
        <v>1315</v>
      </c>
    </row>
    <row r="457" spans="1:3" x14ac:dyDescent="0.35">
      <c r="A457" t="s">
        <v>450</v>
      </c>
      <c r="B457" t="s">
        <v>448</v>
      </c>
      <c r="C457" t="s">
        <v>1350</v>
      </c>
    </row>
    <row r="458" spans="1:3" x14ac:dyDescent="0.35">
      <c r="A458" t="s">
        <v>449</v>
      </c>
      <c r="B458" t="s">
        <v>448</v>
      </c>
      <c r="C458" t="s">
        <v>1350</v>
      </c>
    </row>
    <row r="459" spans="1:3" x14ac:dyDescent="0.35">
      <c r="A459" t="s">
        <v>447</v>
      </c>
      <c r="B459" t="s">
        <v>446</v>
      </c>
      <c r="C459" t="s">
        <v>1357</v>
      </c>
    </row>
    <row r="460" spans="1:3" x14ac:dyDescent="0.35">
      <c r="A460" t="s">
        <v>445</v>
      </c>
      <c r="B460" t="s">
        <v>444</v>
      </c>
      <c r="C460" t="s">
        <v>1320</v>
      </c>
    </row>
    <row r="461" spans="1:3" x14ac:dyDescent="0.35">
      <c r="A461" t="s">
        <v>442</v>
      </c>
      <c r="B461" t="s">
        <v>443</v>
      </c>
      <c r="C461" t="s">
        <v>1345</v>
      </c>
    </row>
    <row r="462" spans="1:3" x14ac:dyDescent="0.35">
      <c r="B462" t="s">
        <v>441</v>
      </c>
      <c r="C462" t="s">
        <v>1345</v>
      </c>
    </row>
    <row r="463" spans="1:3" x14ac:dyDescent="0.35">
      <c r="A463" t="s">
        <v>439</v>
      </c>
      <c r="B463" t="s">
        <v>438</v>
      </c>
      <c r="C463" t="s">
        <v>1345</v>
      </c>
    </row>
    <row r="464" spans="1:3" x14ac:dyDescent="0.35">
      <c r="B464" t="s">
        <v>440</v>
      </c>
      <c r="C464" t="s">
        <v>1345</v>
      </c>
    </row>
    <row r="465" spans="1:3" x14ac:dyDescent="0.35">
      <c r="A465" t="s">
        <v>437</v>
      </c>
      <c r="B465" t="s">
        <v>436</v>
      </c>
      <c r="C465" t="s">
        <v>1318</v>
      </c>
    </row>
    <row r="466" spans="1:3" x14ac:dyDescent="0.35">
      <c r="A466" t="s">
        <v>435</v>
      </c>
      <c r="B466" t="s">
        <v>434</v>
      </c>
      <c r="C466" t="s">
        <v>1345</v>
      </c>
    </row>
    <row r="467" spans="1:3" x14ac:dyDescent="0.35">
      <c r="A467" t="s">
        <v>432</v>
      </c>
      <c r="B467" t="s">
        <v>430</v>
      </c>
      <c r="C467" t="s">
        <v>1314</v>
      </c>
    </row>
    <row r="468" spans="1:3" x14ac:dyDescent="0.35">
      <c r="A468" t="s">
        <v>431</v>
      </c>
      <c r="B468" t="s">
        <v>430</v>
      </c>
      <c r="C468" t="s">
        <v>1323</v>
      </c>
    </row>
    <row r="469" spans="1:3" x14ac:dyDescent="0.35">
      <c r="A469" t="s">
        <v>429</v>
      </c>
      <c r="B469" t="s">
        <v>428</v>
      </c>
      <c r="C469" t="s">
        <v>1352</v>
      </c>
    </row>
    <row r="470" spans="1:3" x14ac:dyDescent="0.35">
      <c r="A470" t="s">
        <v>427</v>
      </c>
      <c r="B470" t="s">
        <v>426</v>
      </c>
      <c r="C470" t="s">
        <v>1352</v>
      </c>
    </row>
    <row r="471" spans="1:3" x14ac:dyDescent="0.35">
      <c r="A471" t="s">
        <v>425</v>
      </c>
      <c r="B471" t="s">
        <v>424</v>
      </c>
      <c r="C471" t="s">
        <v>1352</v>
      </c>
    </row>
    <row r="472" spans="1:3" x14ac:dyDescent="0.35">
      <c r="A472" t="s">
        <v>423</v>
      </c>
      <c r="B472" t="s">
        <v>422</v>
      </c>
      <c r="C472" t="s">
        <v>1352</v>
      </c>
    </row>
    <row r="473" spans="1:3" x14ac:dyDescent="0.35">
      <c r="A473" t="s">
        <v>421</v>
      </c>
      <c r="B473" t="s">
        <v>418</v>
      </c>
      <c r="C473" t="s">
        <v>1314</v>
      </c>
    </row>
    <row r="474" spans="1:3" x14ac:dyDescent="0.35">
      <c r="A474" t="s">
        <v>420</v>
      </c>
      <c r="B474" t="s">
        <v>418</v>
      </c>
      <c r="C474" t="s">
        <v>1324</v>
      </c>
    </row>
    <row r="475" spans="1:3" x14ac:dyDescent="0.35">
      <c r="A475" t="s">
        <v>419</v>
      </c>
      <c r="B475" t="s">
        <v>418</v>
      </c>
      <c r="C475" t="s">
        <v>1314</v>
      </c>
    </row>
    <row r="476" spans="1:3" x14ac:dyDescent="0.35">
      <c r="A476" t="s">
        <v>417</v>
      </c>
      <c r="B476" t="s">
        <v>416</v>
      </c>
      <c r="C476" t="s">
        <v>1318</v>
      </c>
    </row>
    <row r="477" spans="1:3" x14ac:dyDescent="0.35">
      <c r="A477" t="s">
        <v>415</v>
      </c>
      <c r="B477" t="s">
        <v>412</v>
      </c>
      <c r="C477" t="s">
        <v>1314</v>
      </c>
    </row>
    <row r="478" spans="1:3" x14ac:dyDescent="0.35">
      <c r="A478" t="s">
        <v>414</v>
      </c>
      <c r="B478" t="s">
        <v>412</v>
      </c>
      <c r="C478" t="s">
        <v>1314</v>
      </c>
    </row>
    <row r="479" spans="1:3" x14ac:dyDescent="0.35">
      <c r="A479" t="s">
        <v>413</v>
      </c>
      <c r="B479" t="s">
        <v>412</v>
      </c>
      <c r="C479" t="s">
        <v>1314</v>
      </c>
    </row>
    <row r="480" spans="1:3" x14ac:dyDescent="0.35">
      <c r="A480" t="s">
        <v>411</v>
      </c>
      <c r="B480" t="s">
        <v>410</v>
      </c>
      <c r="C480" t="s">
        <v>1321</v>
      </c>
    </row>
    <row r="481" spans="1:3" x14ac:dyDescent="0.35">
      <c r="A481" t="s">
        <v>409</v>
      </c>
      <c r="B481" t="s">
        <v>408</v>
      </c>
      <c r="C481" t="s">
        <v>1314</v>
      </c>
    </row>
    <row r="482" spans="1:3" x14ac:dyDescent="0.35">
      <c r="A482" t="s">
        <v>407</v>
      </c>
      <c r="B482" t="s">
        <v>406</v>
      </c>
      <c r="C482" t="s">
        <v>1314</v>
      </c>
    </row>
    <row r="483" spans="1:3" x14ac:dyDescent="0.35">
      <c r="A483" t="s">
        <v>405</v>
      </c>
      <c r="B483" t="s">
        <v>404</v>
      </c>
      <c r="C483" t="s">
        <v>1321</v>
      </c>
    </row>
    <row r="484" spans="1:3" x14ac:dyDescent="0.35">
      <c r="A484" t="s">
        <v>403</v>
      </c>
      <c r="B484" t="s">
        <v>402</v>
      </c>
      <c r="C484" t="s">
        <v>1321</v>
      </c>
    </row>
    <row r="485" spans="1:3" x14ac:dyDescent="0.35">
      <c r="A485" t="s">
        <v>401</v>
      </c>
      <c r="B485" t="s">
        <v>400</v>
      </c>
      <c r="C485" t="s">
        <v>1321</v>
      </c>
    </row>
    <row r="486" spans="1:3" x14ac:dyDescent="0.35">
      <c r="A486" t="s">
        <v>399</v>
      </c>
      <c r="B486" t="s">
        <v>396</v>
      </c>
      <c r="C486" t="s">
        <v>1343</v>
      </c>
    </row>
    <row r="487" spans="1:3" x14ac:dyDescent="0.35">
      <c r="A487" t="s">
        <v>398</v>
      </c>
      <c r="B487" t="s">
        <v>396</v>
      </c>
      <c r="C487" t="s">
        <v>1360</v>
      </c>
    </row>
    <row r="488" spans="1:3" x14ac:dyDescent="0.35">
      <c r="A488" t="s">
        <v>397</v>
      </c>
      <c r="B488" t="s">
        <v>396</v>
      </c>
      <c r="C488" t="s">
        <v>1360</v>
      </c>
    </row>
    <row r="489" spans="1:3" x14ac:dyDescent="0.35">
      <c r="A489" t="s">
        <v>395</v>
      </c>
      <c r="B489" t="s">
        <v>394</v>
      </c>
      <c r="C489" t="s">
        <v>1321</v>
      </c>
    </row>
    <row r="490" spans="1:3" x14ac:dyDescent="0.35">
      <c r="A490" t="s">
        <v>393</v>
      </c>
      <c r="B490" t="s">
        <v>390</v>
      </c>
      <c r="C490" t="s">
        <v>1321</v>
      </c>
    </row>
    <row r="491" spans="1:3" x14ac:dyDescent="0.35">
      <c r="A491" t="s">
        <v>392</v>
      </c>
      <c r="B491" t="s">
        <v>390</v>
      </c>
      <c r="C491" t="s">
        <v>1321</v>
      </c>
    </row>
    <row r="492" spans="1:3" x14ac:dyDescent="0.35">
      <c r="A492" t="s">
        <v>391</v>
      </c>
      <c r="B492" t="s">
        <v>390</v>
      </c>
      <c r="C492" t="s">
        <v>1321</v>
      </c>
    </row>
    <row r="493" spans="1:3" x14ac:dyDescent="0.35">
      <c r="A493" t="s">
        <v>389</v>
      </c>
      <c r="B493" t="s">
        <v>386</v>
      </c>
      <c r="C493" t="s">
        <v>1316</v>
      </c>
    </row>
    <row r="494" spans="1:3" x14ac:dyDescent="0.35">
      <c r="A494" t="s">
        <v>388</v>
      </c>
      <c r="B494" t="s">
        <v>386</v>
      </c>
      <c r="C494" t="s">
        <v>1316</v>
      </c>
    </row>
    <row r="495" spans="1:3" x14ac:dyDescent="0.35">
      <c r="A495" t="s">
        <v>387</v>
      </c>
      <c r="B495" t="s">
        <v>386</v>
      </c>
      <c r="C495" t="s">
        <v>1316</v>
      </c>
    </row>
    <row r="496" spans="1:3" x14ac:dyDescent="0.35">
      <c r="A496" t="s">
        <v>385</v>
      </c>
      <c r="B496" t="s">
        <v>360</v>
      </c>
      <c r="C496" t="s">
        <v>1363</v>
      </c>
    </row>
    <row r="497" spans="1:3" x14ac:dyDescent="0.35">
      <c r="A497" t="s">
        <v>384</v>
      </c>
      <c r="B497" t="s">
        <v>383</v>
      </c>
      <c r="C497" t="s">
        <v>1339</v>
      </c>
    </row>
    <row r="498" spans="1:3" x14ac:dyDescent="0.35">
      <c r="A498" t="s">
        <v>382</v>
      </c>
      <c r="B498" t="s">
        <v>381</v>
      </c>
      <c r="C498" t="s">
        <v>1315</v>
      </c>
    </row>
    <row r="499" spans="1:3" x14ac:dyDescent="0.35">
      <c r="A499" t="s">
        <v>380</v>
      </c>
      <c r="B499" t="s">
        <v>378</v>
      </c>
      <c r="C499" t="s">
        <v>1323</v>
      </c>
    </row>
    <row r="500" spans="1:3" x14ac:dyDescent="0.35">
      <c r="A500" t="s">
        <v>379</v>
      </c>
      <c r="B500" t="s">
        <v>378</v>
      </c>
      <c r="C500" t="s">
        <v>1323</v>
      </c>
    </row>
    <row r="501" spans="1:3" x14ac:dyDescent="0.35">
      <c r="A501" t="s">
        <v>377</v>
      </c>
      <c r="B501" t="s">
        <v>376</v>
      </c>
      <c r="C501" t="s">
        <v>1315</v>
      </c>
    </row>
    <row r="502" spans="1:3" x14ac:dyDescent="0.35">
      <c r="A502" t="s">
        <v>375</v>
      </c>
      <c r="B502" t="s">
        <v>371</v>
      </c>
      <c r="C502" t="s">
        <v>1319</v>
      </c>
    </row>
    <row r="503" spans="1:3" x14ac:dyDescent="0.35">
      <c r="A503" t="s">
        <v>374</v>
      </c>
      <c r="B503" t="s">
        <v>371</v>
      </c>
      <c r="C503" t="s">
        <v>1319</v>
      </c>
    </row>
    <row r="504" spans="1:3" x14ac:dyDescent="0.35">
      <c r="A504" t="s">
        <v>373</v>
      </c>
      <c r="B504" t="s">
        <v>371</v>
      </c>
      <c r="C504" t="s">
        <v>1319</v>
      </c>
    </row>
    <row r="505" spans="1:3" x14ac:dyDescent="0.35">
      <c r="A505" t="s">
        <v>372</v>
      </c>
      <c r="B505" t="s">
        <v>371</v>
      </c>
      <c r="C505" t="s">
        <v>1325</v>
      </c>
    </row>
    <row r="506" spans="1:3" x14ac:dyDescent="0.35">
      <c r="A506" t="s">
        <v>370</v>
      </c>
      <c r="B506" t="s">
        <v>369</v>
      </c>
      <c r="C506" t="s">
        <v>1320</v>
      </c>
    </row>
    <row r="507" spans="1:3" x14ac:dyDescent="0.35">
      <c r="A507" t="s">
        <v>368</v>
      </c>
      <c r="B507" t="s">
        <v>367</v>
      </c>
      <c r="C507" t="s">
        <v>1314</v>
      </c>
    </row>
    <row r="508" spans="1:3" x14ac:dyDescent="0.35">
      <c r="A508" t="s">
        <v>366</v>
      </c>
      <c r="B508" t="s">
        <v>365</v>
      </c>
      <c r="C508" t="s">
        <v>1352</v>
      </c>
    </row>
    <row r="509" spans="1:3" x14ac:dyDescent="0.35">
      <c r="A509" t="s">
        <v>364</v>
      </c>
      <c r="B509" t="s">
        <v>363</v>
      </c>
      <c r="C509" t="s">
        <v>1345</v>
      </c>
    </row>
    <row r="510" spans="1:3" x14ac:dyDescent="0.35">
      <c r="A510" t="s">
        <v>362</v>
      </c>
      <c r="B510" t="s">
        <v>361</v>
      </c>
      <c r="C510" t="s">
        <v>1357</v>
      </c>
    </row>
    <row r="511" spans="1:3" x14ac:dyDescent="0.35">
      <c r="A511" t="s">
        <v>359</v>
      </c>
      <c r="B511" t="s">
        <v>358</v>
      </c>
      <c r="C511" t="s">
        <v>1363</v>
      </c>
    </row>
    <row r="512" spans="1:3" x14ac:dyDescent="0.35">
      <c r="B512" t="s">
        <v>360</v>
      </c>
      <c r="C512" t="s">
        <v>1363</v>
      </c>
    </row>
    <row r="513" spans="1:3" x14ac:dyDescent="0.35">
      <c r="A513" t="s">
        <v>357</v>
      </c>
      <c r="B513" t="s">
        <v>356</v>
      </c>
      <c r="C513" t="s">
        <v>1318</v>
      </c>
    </row>
    <row r="514" spans="1:3" x14ac:dyDescent="0.35">
      <c r="A514" t="s">
        <v>354</v>
      </c>
      <c r="B514" t="s">
        <v>353</v>
      </c>
      <c r="C514" t="s">
        <v>1323</v>
      </c>
    </row>
    <row r="515" spans="1:3" x14ac:dyDescent="0.35">
      <c r="A515" t="s">
        <v>352</v>
      </c>
      <c r="B515" t="s">
        <v>351</v>
      </c>
      <c r="C515" t="s">
        <v>1347</v>
      </c>
    </row>
    <row r="516" spans="1:3" x14ac:dyDescent="0.35">
      <c r="A516" t="s">
        <v>350</v>
      </c>
      <c r="B516" t="s">
        <v>349</v>
      </c>
      <c r="C516" t="s">
        <v>1365</v>
      </c>
    </row>
    <row r="517" spans="1:3" x14ac:dyDescent="0.35">
      <c r="A517" t="s">
        <v>348</v>
      </c>
      <c r="B517" t="s">
        <v>347</v>
      </c>
      <c r="C517" t="s">
        <v>1318</v>
      </c>
    </row>
    <row r="518" spans="1:3" x14ac:dyDescent="0.35">
      <c r="A518" t="s">
        <v>346</v>
      </c>
      <c r="B518" t="s">
        <v>345</v>
      </c>
      <c r="C518" t="s">
        <v>1314</v>
      </c>
    </row>
    <row r="519" spans="1:3" x14ac:dyDescent="0.35">
      <c r="A519" t="s">
        <v>344</v>
      </c>
      <c r="B519" t="s">
        <v>343</v>
      </c>
      <c r="C519" t="s">
        <v>1339</v>
      </c>
    </row>
    <row r="520" spans="1:3" x14ac:dyDescent="0.35">
      <c r="A520" t="s">
        <v>342</v>
      </c>
      <c r="B520" t="s">
        <v>341</v>
      </c>
      <c r="C520" t="s">
        <v>1339</v>
      </c>
    </row>
    <row r="521" spans="1:3" x14ac:dyDescent="0.35">
      <c r="A521" t="s">
        <v>340</v>
      </c>
      <c r="B521" t="s">
        <v>339</v>
      </c>
      <c r="C521" t="s">
        <v>1339</v>
      </c>
    </row>
    <row r="522" spans="1:3" x14ac:dyDescent="0.35">
      <c r="A522" t="s">
        <v>338</v>
      </c>
      <c r="B522" t="s">
        <v>337</v>
      </c>
      <c r="C522" t="s">
        <v>1342</v>
      </c>
    </row>
    <row r="523" spans="1:3" x14ac:dyDescent="0.35">
      <c r="A523" t="s">
        <v>336</v>
      </c>
      <c r="B523" t="s">
        <v>335</v>
      </c>
      <c r="C523" t="s">
        <v>1320</v>
      </c>
    </row>
    <row r="524" spans="1:3" x14ac:dyDescent="0.35">
      <c r="A524" t="s">
        <v>333</v>
      </c>
      <c r="B524" t="s">
        <v>332</v>
      </c>
      <c r="C524" t="s">
        <v>1321</v>
      </c>
    </row>
    <row r="525" spans="1:3" x14ac:dyDescent="0.35">
      <c r="A525" t="s">
        <v>331</v>
      </c>
      <c r="B525" t="s">
        <v>330</v>
      </c>
      <c r="C525" t="s">
        <v>1338</v>
      </c>
    </row>
    <row r="526" spans="1:3" x14ac:dyDescent="0.35">
      <c r="A526" t="s">
        <v>329</v>
      </c>
      <c r="B526" t="s">
        <v>328</v>
      </c>
      <c r="C526" t="s">
        <v>1364</v>
      </c>
    </row>
    <row r="527" spans="1:3" x14ac:dyDescent="0.35">
      <c r="A527" t="s">
        <v>327</v>
      </c>
      <c r="B527" t="s">
        <v>326</v>
      </c>
      <c r="C527" t="s">
        <v>1324</v>
      </c>
    </row>
    <row r="528" spans="1:3" x14ac:dyDescent="0.35">
      <c r="A528" t="s">
        <v>325</v>
      </c>
      <c r="B528" t="s">
        <v>324</v>
      </c>
      <c r="C528" t="s">
        <v>1350</v>
      </c>
    </row>
    <row r="529" spans="1:3" x14ac:dyDescent="0.35">
      <c r="A529" t="s">
        <v>323</v>
      </c>
      <c r="B529" t="s">
        <v>322</v>
      </c>
      <c r="C529" t="s">
        <v>1339</v>
      </c>
    </row>
    <row r="530" spans="1:3" x14ac:dyDescent="0.35">
      <c r="A530" t="s">
        <v>321</v>
      </c>
      <c r="B530" t="s">
        <v>320</v>
      </c>
      <c r="C530" t="s">
        <v>1321</v>
      </c>
    </row>
    <row r="531" spans="1:3" x14ac:dyDescent="0.35">
      <c r="A531" t="s">
        <v>319</v>
      </c>
      <c r="B531" t="s">
        <v>318</v>
      </c>
      <c r="C531" t="s">
        <v>1321</v>
      </c>
    </row>
    <row r="532" spans="1:3" x14ac:dyDescent="0.35">
      <c r="A532" t="s">
        <v>317</v>
      </c>
      <c r="B532" t="s">
        <v>315</v>
      </c>
      <c r="C532" t="s">
        <v>1357</v>
      </c>
    </row>
    <row r="533" spans="1:3" x14ac:dyDescent="0.35">
      <c r="A533" t="s">
        <v>316</v>
      </c>
      <c r="B533" t="s">
        <v>315</v>
      </c>
      <c r="C533" t="s">
        <v>1357</v>
      </c>
    </row>
    <row r="534" spans="1:3" x14ac:dyDescent="0.35">
      <c r="A534" t="s">
        <v>314</v>
      </c>
      <c r="B534" t="s">
        <v>313</v>
      </c>
      <c r="C534" t="s">
        <v>1314</v>
      </c>
    </row>
    <row r="535" spans="1:3" x14ac:dyDescent="0.35">
      <c r="A535" t="s">
        <v>312</v>
      </c>
      <c r="B535" t="s">
        <v>311</v>
      </c>
      <c r="C535" t="s">
        <v>1316</v>
      </c>
    </row>
    <row r="536" spans="1:3" x14ac:dyDescent="0.35">
      <c r="A536" t="s">
        <v>310</v>
      </c>
      <c r="B536" t="s">
        <v>309</v>
      </c>
      <c r="C536" t="s">
        <v>1316</v>
      </c>
    </row>
    <row r="537" spans="1:3" x14ac:dyDescent="0.35">
      <c r="A537" t="s">
        <v>308</v>
      </c>
      <c r="B537" t="s">
        <v>307</v>
      </c>
      <c r="C537" t="s">
        <v>1324</v>
      </c>
    </row>
    <row r="538" spans="1:3" x14ac:dyDescent="0.35">
      <c r="A538" t="s">
        <v>306</v>
      </c>
      <c r="B538" t="s">
        <v>305</v>
      </c>
      <c r="C538" t="s">
        <v>1347</v>
      </c>
    </row>
    <row r="539" spans="1:3" x14ac:dyDescent="0.35">
      <c r="A539" t="s">
        <v>304</v>
      </c>
      <c r="B539" t="s">
        <v>303</v>
      </c>
      <c r="C539" t="s">
        <v>1346</v>
      </c>
    </row>
    <row r="540" spans="1:3" x14ac:dyDescent="0.35">
      <c r="A540" t="s">
        <v>302</v>
      </c>
      <c r="B540" t="s">
        <v>301</v>
      </c>
      <c r="C540" t="s">
        <v>1346</v>
      </c>
    </row>
    <row r="541" spans="1:3" x14ac:dyDescent="0.35">
      <c r="A541" t="s">
        <v>299</v>
      </c>
      <c r="B541" t="s">
        <v>297</v>
      </c>
      <c r="C541" t="s">
        <v>1321</v>
      </c>
    </row>
    <row r="542" spans="1:3" x14ac:dyDescent="0.35">
      <c r="A542" t="s">
        <v>298</v>
      </c>
      <c r="B542" t="s">
        <v>297</v>
      </c>
      <c r="C542" t="s">
        <v>1321</v>
      </c>
    </row>
    <row r="543" spans="1:3" x14ac:dyDescent="0.35">
      <c r="A543" t="s">
        <v>296</v>
      </c>
      <c r="B543" t="s">
        <v>292</v>
      </c>
      <c r="C543" t="s">
        <v>1320</v>
      </c>
    </row>
    <row r="544" spans="1:3" x14ac:dyDescent="0.35">
      <c r="A544" t="s">
        <v>295</v>
      </c>
      <c r="B544" t="s">
        <v>292</v>
      </c>
      <c r="C544" t="s">
        <v>1314</v>
      </c>
    </row>
    <row r="545" spans="1:3" x14ac:dyDescent="0.35">
      <c r="A545" t="s">
        <v>294</v>
      </c>
      <c r="B545" t="s">
        <v>292</v>
      </c>
      <c r="C545" t="s">
        <v>1324</v>
      </c>
    </row>
    <row r="546" spans="1:3" x14ac:dyDescent="0.35">
      <c r="A546" t="s">
        <v>293</v>
      </c>
      <c r="B546" t="s">
        <v>292</v>
      </c>
      <c r="C546" t="s">
        <v>1319</v>
      </c>
    </row>
    <row r="547" spans="1:3" x14ac:dyDescent="0.35">
      <c r="A547" t="s">
        <v>291</v>
      </c>
      <c r="B547" t="s">
        <v>290</v>
      </c>
      <c r="C547" t="s">
        <v>1346</v>
      </c>
    </row>
    <row r="548" spans="1:3" x14ac:dyDescent="0.35">
      <c r="A548" t="s">
        <v>289</v>
      </c>
      <c r="B548" t="s">
        <v>287</v>
      </c>
      <c r="C548" t="s">
        <v>1322</v>
      </c>
    </row>
    <row r="549" spans="1:3" x14ac:dyDescent="0.35">
      <c r="A549" t="s">
        <v>288</v>
      </c>
      <c r="B549" t="s">
        <v>287</v>
      </c>
      <c r="C549" t="s">
        <v>1322</v>
      </c>
    </row>
    <row r="550" spans="1:3" x14ac:dyDescent="0.35">
      <c r="A550" t="s">
        <v>286</v>
      </c>
      <c r="B550" t="s">
        <v>284</v>
      </c>
      <c r="C550" t="s">
        <v>1323</v>
      </c>
    </row>
    <row r="551" spans="1:3" x14ac:dyDescent="0.35">
      <c r="A551" t="s">
        <v>285</v>
      </c>
      <c r="B551" t="s">
        <v>284</v>
      </c>
      <c r="C551" t="s">
        <v>1323</v>
      </c>
    </row>
    <row r="552" spans="1:3" x14ac:dyDescent="0.35">
      <c r="A552" t="s">
        <v>283</v>
      </c>
      <c r="B552" t="s">
        <v>282</v>
      </c>
      <c r="C552" t="s">
        <v>1323</v>
      </c>
    </row>
    <row r="553" spans="1:3" x14ac:dyDescent="0.35">
      <c r="A553" t="s">
        <v>281</v>
      </c>
      <c r="B553" t="s">
        <v>280</v>
      </c>
      <c r="C553" t="s">
        <v>1347</v>
      </c>
    </row>
    <row r="554" spans="1:3" x14ac:dyDescent="0.35">
      <c r="A554" t="s">
        <v>279</v>
      </c>
      <c r="B554" t="s">
        <v>278</v>
      </c>
      <c r="C554" t="s">
        <v>1346</v>
      </c>
    </row>
    <row r="555" spans="1:3" x14ac:dyDescent="0.35">
      <c r="A555" t="s">
        <v>277</v>
      </c>
      <c r="B555" t="s">
        <v>276</v>
      </c>
      <c r="C555" t="s">
        <v>1339</v>
      </c>
    </row>
    <row r="556" spans="1:3" x14ac:dyDescent="0.35">
      <c r="A556" t="s">
        <v>275</v>
      </c>
      <c r="B556" t="s">
        <v>274</v>
      </c>
      <c r="C556" t="s">
        <v>1323</v>
      </c>
    </row>
    <row r="557" spans="1:3" x14ac:dyDescent="0.35">
      <c r="A557" t="s">
        <v>272</v>
      </c>
      <c r="B557" t="s">
        <v>270</v>
      </c>
      <c r="C557" t="s">
        <v>1352</v>
      </c>
    </row>
    <row r="558" spans="1:3" x14ac:dyDescent="0.35">
      <c r="A558" t="s">
        <v>271</v>
      </c>
      <c r="B558" t="s">
        <v>270</v>
      </c>
      <c r="C558" t="s">
        <v>1352</v>
      </c>
    </row>
    <row r="559" spans="1:3" x14ac:dyDescent="0.35">
      <c r="A559" t="s">
        <v>269</v>
      </c>
      <c r="B559" t="s">
        <v>268</v>
      </c>
      <c r="C559" t="s">
        <v>1352</v>
      </c>
    </row>
    <row r="560" spans="1:3" x14ac:dyDescent="0.35">
      <c r="A560" t="s">
        <v>267</v>
      </c>
      <c r="B560" t="s">
        <v>266</v>
      </c>
      <c r="C560" t="s">
        <v>1352</v>
      </c>
    </row>
    <row r="561" spans="1:3" x14ac:dyDescent="0.35">
      <c r="A561" t="s">
        <v>265</v>
      </c>
      <c r="B561" t="s">
        <v>264</v>
      </c>
      <c r="C561" t="s">
        <v>1321</v>
      </c>
    </row>
    <row r="562" spans="1:3" x14ac:dyDescent="0.35">
      <c r="A562" t="s">
        <v>263</v>
      </c>
      <c r="B562" t="s">
        <v>260</v>
      </c>
      <c r="C562" t="s">
        <v>1323</v>
      </c>
    </row>
    <row r="563" spans="1:3" x14ac:dyDescent="0.35">
      <c r="A563" t="s">
        <v>262</v>
      </c>
      <c r="B563" t="s">
        <v>260</v>
      </c>
      <c r="C563" t="s">
        <v>1323</v>
      </c>
    </row>
    <row r="564" spans="1:3" x14ac:dyDescent="0.35">
      <c r="A564" t="s">
        <v>261</v>
      </c>
      <c r="B564" t="s">
        <v>260</v>
      </c>
      <c r="C564" t="s">
        <v>1323</v>
      </c>
    </row>
    <row r="565" spans="1:3" x14ac:dyDescent="0.35">
      <c r="A565" t="s">
        <v>259</v>
      </c>
      <c r="B565" t="s">
        <v>258</v>
      </c>
      <c r="C565" t="s">
        <v>1357</v>
      </c>
    </row>
    <row r="566" spans="1:3" x14ac:dyDescent="0.35">
      <c r="A566" t="s">
        <v>257</v>
      </c>
      <c r="B566" t="s">
        <v>256</v>
      </c>
      <c r="C566" t="s">
        <v>1338</v>
      </c>
    </row>
    <row r="567" spans="1:3" x14ac:dyDescent="0.35">
      <c r="A567" t="s">
        <v>255</v>
      </c>
      <c r="B567" t="s">
        <v>254</v>
      </c>
      <c r="C567" t="s">
        <v>1350</v>
      </c>
    </row>
    <row r="568" spans="1:3" x14ac:dyDescent="0.35">
      <c r="A568" t="s">
        <v>253</v>
      </c>
      <c r="B568" t="s">
        <v>252</v>
      </c>
      <c r="C568" t="s">
        <v>1339</v>
      </c>
    </row>
    <row r="569" spans="1:3" x14ac:dyDescent="0.35">
      <c r="A569" t="s">
        <v>251</v>
      </c>
      <c r="B569" t="s">
        <v>248</v>
      </c>
      <c r="C569" t="s">
        <v>1352</v>
      </c>
    </row>
    <row r="570" spans="1:3" x14ac:dyDescent="0.35">
      <c r="A570" t="s">
        <v>250</v>
      </c>
      <c r="B570" t="s">
        <v>248</v>
      </c>
      <c r="C570" t="s">
        <v>1352</v>
      </c>
    </row>
    <row r="571" spans="1:3" x14ac:dyDescent="0.35">
      <c r="A571" t="s">
        <v>249</v>
      </c>
      <c r="B571" t="s">
        <v>248</v>
      </c>
      <c r="C571" t="s">
        <v>1352</v>
      </c>
    </row>
    <row r="572" spans="1:3" x14ac:dyDescent="0.35">
      <c r="A572" t="s">
        <v>247</v>
      </c>
      <c r="B572" t="s">
        <v>246</v>
      </c>
      <c r="C572" t="s">
        <v>1324</v>
      </c>
    </row>
    <row r="573" spans="1:3" x14ac:dyDescent="0.35">
      <c r="A573" t="s">
        <v>245</v>
      </c>
      <c r="B573" t="s">
        <v>244</v>
      </c>
      <c r="C573" t="s">
        <v>1320</v>
      </c>
    </row>
    <row r="574" spans="1:3" x14ac:dyDescent="0.35">
      <c r="A574" t="s">
        <v>243</v>
      </c>
      <c r="B574" t="s">
        <v>241</v>
      </c>
      <c r="C574" t="s">
        <v>1323</v>
      </c>
    </row>
    <row r="575" spans="1:3" x14ac:dyDescent="0.35">
      <c r="A575" t="s">
        <v>242</v>
      </c>
      <c r="B575" t="s">
        <v>241</v>
      </c>
      <c r="C575" t="s">
        <v>1323</v>
      </c>
    </row>
    <row r="576" spans="1:3" x14ac:dyDescent="0.35">
      <c r="A576" t="s">
        <v>240</v>
      </c>
      <c r="B576" t="s">
        <v>239</v>
      </c>
      <c r="C576" t="s">
        <v>1320</v>
      </c>
    </row>
    <row r="577" spans="1:3" x14ac:dyDescent="0.35">
      <c r="A577" t="s">
        <v>238</v>
      </c>
      <c r="B577" t="s">
        <v>237</v>
      </c>
      <c r="C577" t="s">
        <v>1338</v>
      </c>
    </row>
    <row r="578" spans="1:3" x14ac:dyDescent="0.35">
      <c r="A578" t="s">
        <v>236</v>
      </c>
      <c r="B578" t="s">
        <v>234</v>
      </c>
      <c r="C578" t="s">
        <v>1314</v>
      </c>
    </row>
    <row r="579" spans="1:3" x14ac:dyDescent="0.35">
      <c r="A579" t="s">
        <v>235</v>
      </c>
      <c r="B579" t="s">
        <v>234</v>
      </c>
      <c r="C579" t="s">
        <v>1314</v>
      </c>
    </row>
    <row r="580" spans="1:3" x14ac:dyDescent="0.35">
      <c r="A580" t="s">
        <v>233</v>
      </c>
      <c r="B580" t="s">
        <v>232</v>
      </c>
      <c r="C580" t="s">
        <v>1317</v>
      </c>
    </row>
    <row r="581" spans="1:3" x14ac:dyDescent="0.35">
      <c r="A581" t="s">
        <v>231</v>
      </c>
      <c r="B581" t="s">
        <v>229</v>
      </c>
      <c r="C581" t="s">
        <v>1323</v>
      </c>
    </row>
    <row r="582" spans="1:3" x14ac:dyDescent="0.35">
      <c r="A582" t="s">
        <v>230</v>
      </c>
      <c r="B582" t="s">
        <v>229</v>
      </c>
      <c r="C582" t="s">
        <v>1323</v>
      </c>
    </row>
    <row r="583" spans="1:3" x14ac:dyDescent="0.35">
      <c r="A583" t="s">
        <v>228</v>
      </c>
      <c r="B583" t="s">
        <v>227</v>
      </c>
      <c r="C583" t="s">
        <v>1353</v>
      </c>
    </row>
    <row r="584" spans="1:3" x14ac:dyDescent="0.35">
      <c r="A584" t="s">
        <v>225</v>
      </c>
      <c r="B584" t="s">
        <v>224</v>
      </c>
      <c r="C584" t="s">
        <v>1357</v>
      </c>
    </row>
    <row r="585" spans="1:3" x14ac:dyDescent="0.35">
      <c r="B585" t="s">
        <v>226</v>
      </c>
      <c r="C585" t="s">
        <v>1357</v>
      </c>
    </row>
    <row r="586" spans="1:3" x14ac:dyDescent="0.35">
      <c r="A586" t="s">
        <v>223</v>
      </c>
      <c r="B586" t="s">
        <v>222</v>
      </c>
      <c r="C586" t="s">
        <v>1354</v>
      </c>
    </row>
    <row r="587" spans="1:3" x14ac:dyDescent="0.35">
      <c r="A587" t="s">
        <v>221</v>
      </c>
      <c r="B587" t="s">
        <v>217</v>
      </c>
      <c r="C587" t="s">
        <v>1320</v>
      </c>
    </row>
    <row r="588" spans="1:3" x14ac:dyDescent="0.35">
      <c r="A588" t="s">
        <v>220</v>
      </c>
      <c r="B588" t="s">
        <v>217</v>
      </c>
      <c r="C588" t="s">
        <v>1316</v>
      </c>
    </row>
    <row r="589" spans="1:3" x14ac:dyDescent="0.35">
      <c r="A589" t="s">
        <v>219</v>
      </c>
      <c r="B589" t="s">
        <v>217</v>
      </c>
      <c r="C589" t="s">
        <v>1320</v>
      </c>
    </row>
    <row r="590" spans="1:3" x14ac:dyDescent="0.35">
      <c r="A590" t="s">
        <v>218</v>
      </c>
      <c r="B590" t="s">
        <v>217</v>
      </c>
      <c r="C590" t="s">
        <v>1320</v>
      </c>
    </row>
    <row r="591" spans="1:3" x14ac:dyDescent="0.35">
      <c r="A591" t="s">
        <v>216</v>
      </c>
      <c r="B591" t="s">
        <v>215</v>
      </c>
      <c r="C591" t="s">
        <v>1320</v>
      </c>
    </row>
    <row r="592" spans="1:3" x14ac:dyDescent="0.35">
      <c r="A592" t="s">
        <v>214</v>
      </c>
      <c r="B592" t="s">
        <v>213</v>
      </c>
      <c r="C592" t="s">
        <v>1322</v>
      </c>
    </row>
    <row r="593" spans="1:3" x14ac:dyDescent="0.35">
      <c r="A593" t="s">
        <v>212</v>
      </c>
      <c r="B593" t="s">
        <v>211</v>
      </c>
      <c r="C593" t="s">
        <v>1314</v>
      </c>
    </row>
    <row r="594" spans="1:3" x14ac:dyDescent="0.35">
      <c r="A594" t="s">
        <v>210</v>
      </c>
      <c r="B594" t="s">
        <v>209</v>
      </c>
      <c r="C594" t="s">
        <v>1345</v>
      </c>
    </row>
    <row r="595" spans="1:3" x14ac:dyDescent="0.35">
      <c r="A595" t="s">
        <v>208</v>
      </c>
      <c r="B595" t="s">
        <v>207</v>
      </c>
      <c r="C595" t="s">
        <v>1352</v>
      </c>
    </row>
    <row r="596" spans="1:3" x14ac:dyDescent="0.35">
      <c r="A596" t="s">
        <v>206</v>
      </c>
      <c r="B596" t="s">
        <v>205</v>
      </c>
      <c r="C596" t="s">
        <v>1323</v>
      </c>
    </row>
    <row r="597" spans="1:3" x14ac:dyDescent="0.35">
      <c r="A597" t="s">
        <v>204</v>
      </c>
      <c r="B597" t="s">
        <v>203</v>
      </c>
      <c r="C597" t="s">
        <v>1321</v>
      </c>
    </row>
    <row r="598" spans="1:3" x14ac:dyDescent="0.35">
      <c r="A598" t="s">
        <v>201</v>
      </c>
      <c r="B598" t="s">
        <v>199</v>
      </c>
      <c r="C598" t="s">
        <v>1346</v>
      </c>
    </row>
    <row r="599" spans="1:3" x14ac:dyDescent="0.35">
      <c r="A599" t="s">
        <v>200</v>
      </c>
      <c r="B599" t="s">
        <v>199</v>
      </c>
      <c r="C599" t="s">
        <v>1345</v>
      </c>
    </row>
    <row r="600" spans="1:3" x14ac:dyDescent="0.35">
      <c r="A600" t="s">
        <v>198</v>
      </c>
      <c r="B600" t="s">
        <v>196</v>
      </c>
      <c r="C600" t="s">
        <v>1324</v>
      </c>
    </row>
    <row r="601" spans="1:3" x14ac:dyDescent="0.35">
      <c r="A601" t="s">
        <v>197</v>
      </c>
      <c r="B601" t="s">
        <v>196</v>
      </c>
      <c r="C601" t="s">
        <v>1320</v>
      </c>
    </row>
    <row r="602" spans="1:3" x14ac:dyDescent="0.35">
      <c r="A602" t="s">
        <v>195</v>
      </c>
      <c r="B602" t="s">
        <v>194</v>
      </c>
      <c r="C602" t="s">
        <v>1323</v>
      </c>
    </row>
    <row r="603" spans="1:3" x14ac:dyDescent="0.35">
      <c r="A603" t="s">
        <v>193</v>
      </c>
      <c r="B603" t="s">
        <v>192</v>
      </c>
      <c r="C603" t="s">
        <v>1314</v>
      </c>
    </row>
    <row r="604" spans="1:3" x14ac:dyDescent="0.35">
      <c r="A604" t="s">
        <v>191</v>
      </c>
      <c r="B604" t="s">
        <v>190</v>
      </c>
      <c r="C604" t="s">
        <v>1342</v>
      </c>
    </row>
    <row r="605" spans="1:3" x14ac:dyDescent="0.35">
      <c r="A605" t="s">
        <v>189</v>
      </c>
      <c r="B605" t="s">
        <v>188</v>
      </c>
      <c r="C605" t="s">
        <v>1355</v>
      </c>
    </row>
    <row r="606" spans="1:3" x14ac:dyDescent="0.35">
      <c r="A606" t="s">
        <v>187</v>
      </c>
      <c r="B606" t="s">
        <v>186</v>
      </c>
      <c r="C606" t="s">
        <v>1352</v>
      </c>
    </row>
    <row r="607" spans="1:3" x14ac:dyDescent="0.35">
      <c r="A607" t="s">
        <v>185</v>
      </c>
      <c r="B607" t="s">
        <v>184</v>
      </c>
      <c r="C607" t="s">
        <v>1351</v>
      </c>
    </row>
    <row r="608" spans="1:3" x14ac:dyDescent="0.35">
      <c r="A608" t="s">
        <v>183</v>
      </c>
      <c r="B608" t="s">
        <v>182</v>
      </c>
      <c r="C608" t="s">
        <v>1354</v>
      </c>
    </row>
    <row r="609" spans="1:3" x14ac:dyDescent="0.35">
      <c r="A609" t="s">
        <v>181</v>
      </c>
      <c r="B609" t="s">
        <v>178</v>
      </c>
      <c r="C609" t="s">
        <v>1320</v>
      </c>
    </row>
    <row r="610" spans="1:3" x14ac:dyDescent="0.35">
      <c r="A610" t="s">
        <v>180</v>
      </c>
      <c r="B610" t="s">
        <v>178</v>
      </c>
      <c r="C610" t="s">
        <v>1320</v>
      </c>
    </row>
    <row r="611" spans="1:3" x14ac:dyDescent="0.35">
      <c r="A611" t="s">
        <v>179</v>
      </c>
      <c r="B611" t="s">
        <v>178</v>
      </c>
      <c r="C611" t="s">
        <v>1320</v>
      </c>
    </row>
    <row r="612" spans="1:3" x14ac:dyDescent="0.35">
      <c r="A612" t="s">
        <v>177</v>
      </c>
      <c r="B612" t="s">
        <v>176</v>
      </c>
      <c r="C612" t="s">
        <v>1320</v>
      </c>
    </row>
    <row r="613" spans="1:3" x14ac:dyDescent="0.35">
      <c r="A613" t="s">
        <v>175</v>
      </c>
      <c r="B613" t="s">
        <v>174</v>
      </c>
      <c r="C613" t="s">
        <v>1338</v>
      </c>
    </row>
    <row r="614" spans="1:3" x14ac:dyDescent="0.35">
      <c r="A614" t="s">
        <v>173</v>
      </c>
      <c r="B614" t="s">
        <v>172</v>
      </c>
      <c r="C614" t="s">
        <v>1345</v>
      </c>
    </row>
    <row r="615" spans="1:3" x14ac:dyDescent="0.35">
      <c r="A615" t="s">
        <v>171</v>
      </c>
      <c r="B615" t="s">
        <v>170</v>
      </c>
      <c r="C615" t="s">
        <v>1346</v>
      </c>
    </row>
    <row r="616" spans="1:3" x14ac:dyDescent="0.35">
      <c r="A616" t="s">
        <v>169</v>
      </c>
      <c r="B616" t="s">
        <v>168</v>
      </c>
      <c r="C616" t="s">
        <v>1346</v>
      </c>
    </row>
    <row r="617" spans="1:3" x14ac:dyDescent="0.35">
      <c r="A617" t="s">
        <v>167</v>
      </c>
      <c r="B617" t="s">
        <v>166</v>
      </c>
      <c r="C617" t="s">
        <v>1352</v>
      </c>
    </row>
    <row r="618" spans="1:3" x14ac:dyDescent="0.35">
      <c r="A618" t="s">
        <v>164</v>
      </c>
      <c r="B618" t="s">
        <v>163</v>
      </c>
      <c r="C618" t="s">
        <v>1346</v>
      </c>
    </row>
    <row r="619" spans="1:3" x14ac:dyDescent="0.35">
      <c r="A619" t="s">
        <v>162</v>
      </c>
      <c r="B619" t="s">
        <v>161</v>
      </c>
      <c r="C619" t="s">
        <v>1338</v>
      </c>
    </row>
    <row r="620" spans="1:3" x14ac:dyDescent="0.35">
      <c r="A620" t="s">
        <v>160</v>
      </c>
      <c r="B620" t="s">
        <v>159</v>
      </c>
      <c r="C620" t="s">
        <v>1321</v>
      </c>
    </row>
    <row r="621" spans="1:3" x14ac:dyDescent="0.35">
      <c r="A621" t="s">
        <v>158</v>
      </c>
      <c r="B621" t="s">
        <v>157</v>
      </c>
      <c r="C621" t="s">
        <v>1339</v>
      </c>
    </row>
    <row r="622" spans="1:3" x14ac:dyDescent="0.35">
      <c r="A622" t="s">
        <v>156</v>
      </c>
      <c r="B622" t="s">
        <v>155</v>
      </c>
      <c r="C622" t="s">
        <v>1339</v>
      </c>
    </row>
    <row r="623" spans="1:3" x14ac:dyDescent="0.35">
      <c r="A623" t="s">
        <v>154</v>
      </c>
      <c r="B623" t="s">
        <v>152</v>
      </c>
      <c r="C623" t="s">
        <v>1323</v>
      </c>
    </row>
    <row r="624" spans="1:3" x14ac:dyDescent="0.35">
      <c r="A624" t="s">
        <v>153</v>
      </c>
      <c r="B624" t="s">
        <v>152</v>
      </c>
      <c r="C624" t="s">
        <v>1323</v>
      </c>
    </row>
    <row r="625" spans="1:3" x14ac:dyDescent="0.35">
      <c r="A625" t="s">
        <v>151</v>
      </c>
      <c r="B625" t="s">
        <v>146</v>
      </c>
      <c r="C625" t="s">
        <v>1316</v>
      </c>
    </row>
    <row r="626" spans="1:3" x14ac:dyDescent="0.35">
      <c r="A626" t="s">
        <v>150</v>
      </c>
      <c r="B626" t="s">
        <v>146</v>
      </c>
      <c r="C626" t="s">
        <v>1324</v>
      </c>
    </row>
    <row r="627" spans="1:3" x14ac:dyDescent="0.35">
      <c r="A627" t="s">
        <v>149</v>
      </c>
      <c r="B627" t="s">
        <v>146</v>
      </c>
      <c r="C627" t="s">
        <v>1319</v>
      </c>
    </row>
    <row r="628" spans="1:3" x14ac:dyDescent="0.35">
      <c r="A628" t="s">
        <v>148</v>
      </c>
      <c r="B628" t="s">
        <v>146</v>
      </c>
      <c r="C628" t="s">
        <v>1314</v>
      </c>
    </row>
    <row r="629" spans="1:3" x14ac:dyDescent="0.35">
      <c r="A629" t="s">
        <v>147</v>
      </c>
      <c r="B629" t="s">
        <v>146</v>
      </c>
      <c r="C629" t="s">
        <v>1315</v>
      </c>
    </row>
    <row r="630" spans="1:3" x14ac:dyDescent="0.35">
      <c r="A630" t="s">
        <v>145</v>
      </c>
      <c r="B630" t="s">
        <v>142</v>
      </c>
      <c r="C630" t="s">
        <v>1323</v>
      </c>
    </row>
    <row r="631" spans="1:3" x14ac:dyDescent="0.35">
      <c r="A631" t="s">
        <v>144</v>
      </c>
      <c r="B631" t="s">
        <v>142</v>
      </c>
      <c r="C631" t="s">
        <v>1323</v>
      </c>
    </row>
    <row r="632" spans="1:3" x14ac:dyDescent="0.35">
      <c r="A632" t="s">
        <v>143</v>
      </c>
      <c r="B632" t="s">
        <v>142</v>
      </c>
      <c r="C632" t="s">
        <v>1323</v>
      </c>
    </row>
    <row r="633" spans="1:3" x14ac:dyDescent="0.35">
      <c r="A633" t="s">
        <v>141</v>
      </c>
      <c r="B633" t="s">
        <v>140</v>
      </c>
      <c r="C633" t="s">
        <v>1314</v>
      </c>
    </row>
    <row r="634" spans="1:3" x14ac:dyDescent="0.35">
      <c r="A634" t="s">
        <v>139</v>
      </c>
      <c r="B634" t="s">
        <v>138</v>
      </c>
      <c r="C634" t="s">
        <v>1317</v>
      </c>
    </row>
    <row r="635" spans="1:3" x14ac:dyDescent="0.35">
      <c r="A635" t="s">
        <v>137</v>
      </c>
      <c r="B635" t="s">
        <v>136</v>
      </c>
      <c r="C635" t="s">
        <v>1354</v>
      </c>
    </row>
    <row r="636" spans="1:3" x14ac:dyDescent="0.35">
      <c r="A636" t="s">
        <v>135</v>
      </c>
      <c r="B636" t="s">
        <v>134</v>
      </c>
      <c r="C636" t="s">
        <v>1319</v>
      </c>
    </row>
    <row r="637" spans="1:3" x14ac:dyDescent="0.35">
      <c r="A637" t="s">
        <v>133</v>
      </c>
      <c r="B637" t="s">
        <v>132</v>
      </c>
      <c r="C637" t="s">
        <v>1352</v>
      </c>
    </row>
    <row r="638" spans="1:3" x14ac:dyDescent="0.35">
      <c r="A638" t="s">
        <v>131</v>
      </c>
      <c r="B638" t="s">
        <v>130</v>
      </c>
      <c r="C638" t="s">
        <v>1352</v>
      </c>
    </row>
    <row r="639" spans="1:3" x14ac:dyDescent="0.35">
      <c r="A639" t="s">
        <v>128</v>
      </c>
      <c r="B639" t="s">
        <v>127</v>
      </c>
      <c r="C639" t="s">
        <v>1323</v>
      </c>
    </row>
    <row r="640" spans="1:3" x14ac:dyDescent="0.35">
      <c r="A640" t="s">
        <v>126</v>
      </c>
      <c r="B640" t="s">
        <v>125</v>
      </c>
      <c r="C640" t="s">
        <v>1323</v>
      </c>
    </row>
    <row r="641" spans="1:3" x14ac:dyDescent="0.35">
      <c r="A641" t="s">
        <v>124</v>
      </c>
      <c r="B641" t="s">
        <v>123</v>
      </c>
      <c r="C641" t="s">
        <v>1314</v>
      </c>
    </row>
    <row r="642" spans="1:3" x14ac:dyDescent="0.35">
      <c r="A642" t="s">
        <v>122</v>
      </c>
      <c r="B642" t="s">
        <v>121</v>
      </c>
      <c r="C642" t="s">
        <v>1352</v>
      </c>
    </row>
    <row r="643" spans="1:3" x14ac:dyDescent="0.35">
      <c r="A643" t="s">
        <v>120</v>
      </c>
      <c r="B643" t="s">
        <v>119</v>
      </c>
      <c r="C643" t="s">
        <v>1352</v>
      </c>
    </row>
    <row r="644" spans="1:3" x14ac:dyDescent="0.35">
      <c r="A644" t="s">
        <v>118</v>
      </c>
      <c r="B644" t="s">
        <v>115</v>
      </c>
      <c r="C644" t="s">
        <v>1314</v>
      </c>
    </row>
    <row r="645" spans="1:3" x14ac:dyDescent="0.35">
      <c r="A645" t="s">
        <v>117</v>
      </c>
      <c r="B645" t="s">
        <v>115</v>
      </c>
      <c r="C645" t="s">
        <v>1314</v>
      </c>
    </row>
    <row r="646" spans="1:3" x14ac:dyDescent="0.35">
      <c r="A646" t="s">
        <v>116</v>
      </c>
      <c r="B646" t="s">
        <v>115</v>
      </c>
      <c r="C646" t="s">
        <v>1314</v>
      </c>
    </row>
    <row r="647" spans="1:3" x14ac:dyDescent="0.35">
      <c r="A647" t="s">
        <v>114</v>
      </c>
      <c r="B647" t="s">
        <v>113</v>
      </c>
      <c r="C647" t="s">
        <v>1314</v>
      </c>
    </row>
    <row r="648" spans="1:3" x14ac:dyDescent="0.35">
      <c r="A648" t="s">
        <v>112</v>
      </c>
      <c r="B648" t="s">
        <v>111</v>
      </c>
      <c r="C648" t="s">
        <v>1342</v>
      </c>
    </row>
    <row r="649" spans="1:3" x14ac:dyDescent="0.35">
      <c r="A649" t="s">
        <v>110</v>
      </c>
      <c r="B649" t="s">
        <v>109</v>
      </c>
      <c r="C649" t="s">
        <v>1350</v>
      </c>
    </row>
    <row r="650" spans="1:3" x14ac:dyDescent="0.35">
      <c r="A650" t="s">
        <v>108</v>
      </c>
      <c r="B650" t="s">
        <v>107</v>
      </c>
      <c r="C650" t="s">
        <v>1350</v>
      </c>
    </row>
    <row r="651" spans="1:3" x14ac:dyDescent="0.35">
      <c r="A651" t="s">
        <v>106</v>
      </c>
      <c r="B651" t="s">
        <v>105</v>
      </c>
      <c r="C651" t="s">
        <v>1319</v>
      </c>
    </row>
    <row r="652" spans="1:3" x14ac:dyDescent="0.35">
      <c r="A652" t="s">
        <v>104</v>
      </c>
      <c r="B652" t="s">
        <v>103</v>
      </c>
      <c r="C652" t="s">
        <v>1323</v>
      </c>
    </row>
    <row r="653" spans="1:3" x14ac:dyDescent="0.35">
      <c r="A653" t="s">
        <v>102</v>
      </c>
      <c r="B653" t="s">
        <v>99</v>
      </c>
      <c r="C653" t="s">
        <v>1315</v>
      </c>
    </row>
    <row r="654" spans="1:3" x14ac:dyDescent="0.35">
      <c r="A654" t="s">
        <v>101</v>
      </c>
      <c r="B654" t="s">
        <v>99</v>
      </c>
      <c r="C654" t="s">
        <v>1315</v>
      </c>
    </row>
    <row r="655" spans="1:3" x14ac:dyDescent="0.35">
      <c r="A655" t="s">
        <v>100</v>
      </c>
      <c r="B655" t="s">
        <v>99</v>
      </c>
      <c r="C655" t="s">
        <v>1315</v>
      </c>
    </row>
    <row r="656" spans="1:3" x14ac:dyDescent="0.35">
      <c r="A656" t="s">
        <v>98</v>
      </c>
      <c r="B656" t="s">
        <v>97</v>
      </c>
      <c r="C656" t="s">
        <v>1314</v>
      </c>
    </row>
    <row r="657" spans="1:3" x14ac:dyDescent="0.35">
      <c r="A657" t="s">
        <v>96</v>
      </c>
      <c r="B657" t="s">
        <v>95</v>
      </c>
      <c r="C657" t="s">
        <v>1317</v>
      </c>
    </row>
    <row r="658" spans="1:3" x14ac:dyDescent="0.35">
      <c r="A658" t="s">
        <v>94</v>
      </c>
      <c r="B658" t="s">
        <v>93</v>
      </c>
      <c r="C658" t="s">
        <v>1323</v>
      </c>
    </row>
    <row r="659" spans="1:3" x14ac:dyDescent="0.35">
      <c r="A659" t="s">
        <v>92</v>
      </c>
      <c r="B659" t="s">
        <v>91</v>
      </c>
      <c r="C659" t="s">
        <v>1318</v>
      </c>
    </row>
    <row r="660" spans="1:3" x14ac:dyDescent="0.35">
      <c r="A660" t="s">
        <v>90</v>
      </c>
      <c r="B660" t="s">
        <v>89</v>
      </c>
      <c r="C660" t="s">
        <v>1323</v>
      </c>
    </row>
    <row r="661" spans="1:3" x14ac:dyDescent="0.35">
      <c r="A661" t="s">
        <v>88</v>
      </c>
      <c r="B661" t="s">
        <v>87</v>
      </c>
      <c r="C661" t="s">
        <v>1350</v>
      </c>
    </row>
    <row r="662" spans="1:3" x14ac:dyDescent="0.35">
      <c r="A662" t="s">
        <v>86</v>
      </c>
      <c r="B662" t="s">
        <v>85</v>
      </c>
      <c r="C662" t="s">
        <v>1321</v>
      </c>
    </row>
    <row r="663" spans="1:3" x14ac:dyDescent="0.35">
      <c r="A663" t="s">
        <v>84</v>
      </c>
      <c r="B663" t="s">
        <v>83</v>
      </c>
      <c r="C663" t="s">
        <v>1319</v>
      </c>
    </row>
    <row r="664" spans="1:3" x14ac:dyDescent="0.35">
      <c r="A664" t="s">
        <v>82</v>
      </c>
      <c r="B664" t="s">
        <v>81</v>
      </c>
      <c r="C664" t="s">
        <v>1314</v>
      </c>
    </row>
    <row r="665" spans="1:3" x14ac:dyDescent="0.35">
      <c r="A665" t="s">
        <v>80</v>
      </c>
      <c r="B665" t="s">
        <v>79</v>
      </c>
      <c r="C665" t="s">
        <v>1319</v>
      </c>
    </row>
    <row r="666" spans="1:3" x14ac:dyDescent="0.35">
      <c r="A666" t="s">
        <v>78</v>
      </c>
      <c r="B666" t="s">
        <v>77</v>
      </c>
      <c r="C666" t="s">
        <v>1347</v>
      </c>
    </row>
    <row r="667" spans="1:3" x14ac:dyDescent="0.35">
      <c r="A667" t="s">
        <v>75</v>
      </c>
      <c r="B667" t="s">
        <v>74</v>
      </c>
      <c r="C667" t="s">
        <v>1319</v>
      </c>
    </row>
    <row r="668" spans="1:3" x14ac:dyDescent="0.35">
      <c r="A668" t="s">
        <v>73</v>
      </c>
      <c r="B668" t="s">
        <v>72</v>
      </c>
      <c r="C668" t="s">
        <v>1314</v>
      </c>
    </row>
    <row r="669" spans="1:3" x14ac:dyDescent="0.35">
      <c r="A669" t="s">
        <v>71</v>
      </c>
      <c r="B669" t="s">
        <v>70</v>
      </c>
      <c r="C669" t="s">
        <v>1324</v>
      </c>
    </row>
    <row r="670" spans="1:3" x14ac:dyDescent="0.35">
      <c r="A670" t="s">
        <v>69</v>
      </c>
      <c r="B670" t="s">
        <v>68</v>
      </c>
      <c r="C670" t="s">
        <v>1324</v>
      </c>
    </row>
    <row r="671" spans="1:3" x14ac:dyDescent="0.35">
      <c r="A671" t="s">
        <v>67</v>
      </c>
      <c r="B671" t="s">
        <v>66</v>
      </c>
      <c r="C671" t="s">
        <v>1314</v>
      </c>
    </row>
    <row r="672" spans="1:3" x14ac:dyDescent="0.35">
      <c r="A672" t="s">
        <v>65</v>
      </c>
      <c r="B672" t="s">
        <v>64</v>
      </c>
      <c r="C672" t="s">
        <v>1320</v>
      </c>
    </row>
    <row r="673" spans="1:3" x14ac:dyDescent="0.35">
      <c r="A673" t="s">
        <v>63</v>
      </c>
      <c r="B673" t="s">
        <v>62</v>
      </c>
      <c r="C673" t="s">
        <v>1314</v>
      </c>
    </row>
    <row r="674" spans="1:3" x14ac:dyDescent="0.35">
      <c r="A674" t="s">
        <v>61</v>
      </c>
      <c r="B674" t="s">
        <v>57</v>
      </c>
      <c r="C674" t="s">
        <v>1323</v>
      </c>
    </row>
    <row r="675" spans="1:3" x14ac:dyDescent="0.35">
      <c r="A675" t="s">
        <v>60</v>
      </c>
      <c r="B675" t="s">
        <v>57</v>
      </c>
      <c r="C675" t="s">
        <v>1323</v>
      </c>
    </row>
    <row r="676" spans="1:3" x14ac:dyDescent="0.35">
      <c r="A676" t="s">
        <v>59</v>
      </c>
      <c r="B676" t="s">
        <v>57</v>
      </c>
      <c r="C676" t="s">
        <v>1323</v>
      </c>
    </row>
    <row r="677" spans="1:3" x14ac:dyDescent="0.35">
      <c r="A677" t="s">
        <v>58</v>
      </c>
      <c r="B677" t="s">
        <v>57</v>
      </c>
      <c r="C677" t="s">
        <v>1323</v>
      </c>
    </row>
    <row r="678" spans="1:3" x14ac:dyDescent="0.35">
      <c r="A678" t="s">
        <v>55</v>
      </c>
      <c r="B678" t="s">
        <v>54</v>
      </c>
      <c r="C678" t="s">
        <v>1321</v>
      </c>
    </row>
    <row r="679" spans="1:3" x14ac:dyDescent="0.35">
      <c r="A679" t="s">
        <v>53</v>
      </c>
      <c r="B679" t="s">
        <v>49</v>
      </c>
      <c r="C679" t="s">
        <v>1321</v>
      </c>
    </row>
    <row r="680" spans="1:3" x14ac:dyDescent="0.35">
      <c r="A680" t="s">
        <v>52</v>
      </c>
      <c r="B680" t="s">
        <v>49</v>
      </c>
      <c r="C680" t="s">
        <v>1321</v>
      </c>
    </row>
    <row r="681" spans="1:3" x14ac:dyDescent="0.35">
      <c r="A681" t="s">
        <v>51</v>
      </c>
      <c r="B681" t="s">
        <v>49</v>
      </c>
      <c r="C681" t="s">
        <v>1321</v>
      </c>
    </row>
    <row r="682" spans="1:3" x14ac:dyDescent="0.35">
      <c r="A682" t="s">
        <v>50</v>
      </c>
      <c r="B682" t="s">
        <v>49</v>
      </c>
      <c r="C682" t="s">
        <v>1321</v>
      </c>
    </row>
    <row r="683" spans="1:3" x14ac:dyDescent="0.35">
      <c r="A683" t="s">
        <v>48</v>
      </c>
      <c r="B683" t="s">
        <v>47</v>
      </c>
      <c r="C683" t="s">
        <v>1321</v>
      </c>
    </row>
    <row r="684" spans="1:3" x14ac:dyDescent="0.35">
      <c r="A684" t="s">
        <v>46</v>
      </c>
      <c r="B684" t="s">
        <v>45</v>
      </c>
      <c r="C684" t="s">
        <v>1321</v>
      </c>
    </row>
    <row r="685" spans="1:3" x14ac:dyDescent="0.35">
      <c r="A685" t="s">
        <v>44</v>
      </c>
      <c r="B685" t="s">
        <v>43</v>
      </c>
      <c r="C685" t="s">
        <v>1321</v>
      </c>
    </row>
    <row r="686" spans="1:3" x14ac:dyDescent="0.35">
      <c r="A686" t="s">
        <v>42</v>
      </c>
      <c r="B686" t="s">
        <v>41</v>
      </c>
      <c r="C686" t="s">
        <v>1321</v>
      </c>
    </row>
    <row r="687" spans="1:3" x14ac:dyDescent="0.35">
      <c r="A687" t="s">
        <v>40</v>
      </c>
      <c r="B687" t="s">
        <v>39</v>
      </c>
      <c r="C687" t="s">
        <v>1321</v>
      </c>
    </row>
    <row r="688" spans="1:3" x14ac:dyDescent="0.35">
      <c r="A688" t="s">
        <v>38</v>
      </c>
      <c r="B688" t="s">
        <v>37</v>
      </c>
      <c r="C688" t="s">
        <v>1321</v>
      </c>
    </row>
    <row r="689" spans="1:3" x14ac:dyDescent="0.35">
      <c r="A689" t="s">
        <v>36</v>
      </c>
      <c r="B689" t="s">
        <v>35</v>
      </c>
      <c r="C689" t="s">
        <v>1321</v>
      </c>
    </row>
    <row r="690" spans="1:3" x14ac:dyDescent="0.35">
      <c r="A690" t="s">
        <v>34</v>
      </c>
      <c r="B690" t="s">
        <v>33</v>
      </c>
      <c r="C690" t="s">
        <v>1321</v>
      </c>
    </row>
    <row r="691" spans="1:3" x14ac:dyDescent="0.35">
      <c r="A691" t="s">
        <v>32</v>
      </c>
      <c r="B691" t="s">
        <v>31</v>
      </c>
      <c r="C691" t="s">
        <v>1321</v>
      </c>
    </row>
    <row r="692" spans="1:3" x14ac:dyDescent="0.35">
      <c r="A692" t="s">
        <v>30</v>
      </c>
      <c r="B692" t="s">
        <v>29</v>
      </c>
      <c r="C692" t="s">
        <v>1321</v>
      </c>
    </row>
    <row r="693" spans="1:3" x14ac:dyDescent="0.35">
      <c r="A693" t="s">
        <v>28</v>
      </c>
      <c r="B693" t="s">
        <v>27</v>
      </c>
      <c r="C693" t="s">
        <v>1321</v>
      </c>
    </row>
    <row r="694" spans="1:3" x14ac:dyDescent="0.35">
      <c r="A694" t="s">
        <v>26</v>
      </c>
      <c r="B694" t="s">
        <v>25</v>
      </c>
      <c r="C694" t="s">
        <v>1321</v>
      </c>
    </row>
    <row r="695" spans="1:3" x14ac:dyDescent="0.35">
      <c r="A695" t="s">
        <v>7</v>
      </c>
      <c r="B695" t="s">
        <v>6</v>
      </c>
      <c r="C695" t="s">
        <v>1340</v>
      </c>
    </row>
    <row r="696" spans="1:3" x14ac:dyDescent="0.35">
      <c r="A696" t="s">
        <v>5</v>
      </c>
      <c r="B696" t="s">
        <v>3</v>
      </c>
      <c r="C696" t="s">
        <v>1354</v>
      </c>
    </row>
    <row r="697" spans="1:3" x14ac:dyDescent="0.35">
      <c r="A697" t="s">
        <v>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EA2E-83C0-40AE-BB86-CC2884369EFC}">
  <sheetPr filterMode="1"/>
  <dimension ref="A1:S712"/>
  <sheetViews>
    <sheetView showGridLines="0" topLeftCell="A2" workbookViewId="0">
      <selection activeCell="A2" sqref="A2:T712"/>
    </sheetView>
  </sheetViews>
  <sheetFormatPr baseColWidth="10" defaultRowHeight="14.5" x14ac:dyDescent="0.35"/>
  <cols>
    <col min="1" max="1" width="13" bestFit="1" customWidth="1"/>
    <col min="3" max="3" width="56.453125" bestFit="1" customWidth="1"/>
    <col min="5" max="5" width="15.1796875" bestFit="1" customWidth="1"/>
    <col min="6" max="6" width="14.26953125" bestFit="1" customWidth="1"/>
    <col min="7" max="7" width="15.1796875" bestFit="1" customWidth="1"/>
    <col min="8" max="9" width="6.453125" customWidth="1"/>
    <col min="10" max="10" width="13.7265625" style="6" hidden="1" customWidth="1"/>
    <col min="11" max="11" width="20.81640625" hidden="1" customWidth="1"/>
    <col min="13" max="13" width="32.81640625" customWidth="1"/>
    <col min="14" max="14" width="20.54296875" customWidth="1"/>
    <col min="15" max="15" width="34.26953125" bestFit="1" customWidth="1"/>
    <col min="16" max="16" width="6.1796875" customWidth="1"/>
    <col min="17" max="17" width="6.54296875" customWidth="1"/>
    <col min="18" max="18" width="35.26953125" bestFit="1" customWidth="1"/>
    <col min="19" max="19" width="26.1796875" customWidth="1"/>
  </cols>
  <sheetData>
    <row r="1" spans="1:19" x14ac:dyDescent="0.35">
      <c r="P1" s="19" t="s">
        <v>1329</v>
      </c>
      <c r="Q1" s="19"/>
      <c r="R1" t="s">
        <v>1333</v>
      </c>
    </row>
    <row r="2" spans="1:19" ht="29.5" thickBot="1" x14ac:dyDescent="0.4">
      <c r="A2" s="9" t="s">
        <v>1266</v>
      </c>
      <c r="B2" s="9" t="s">
        <v>1265</v>
      </c>
      <c r="C2" s="9" t="s">
        <v>1264</v>
      </c>
      <c r="D2" s="9" t="s">
        <v>1263</v>
      </c>
      <c r="E2" s="10" t="s">
        <v>1262</v>
      </c>
      <c r="F2" s="10" t="s">
        <v>1261</v>
      </c>
      <c r="G2" s="10" t="s">
        <v>1260</v>
      </c>
      <c r="H2" s="9" t="s">
        <v>1259</v>
      </c>
      <c r="I2" s="9" t="s">
        <v>1258</v>
      </c>
      <c r="J2" s="15" t="s">
        <v>1257</v>
      </c>
      <c r="K2" s="9" t="s">
        <v>1256</v>
      </c>
      <c r="L2" s="9" t="s">
        <v>1255</v>
      </c>
      <c r="M2" s="9" t="s">
        <v>1267</v>
      </c>
      <c r="N2" s="9" t="s">
        <v>1268</v>
      </c>
      <c r="O2" s="9" t="s">
        <v>1269</v>
      </c>
      <c r="P2" s="11" t="s">
        <v>1330</v>
      </c>
      <c r="Q2" s="11" t="s">
        <v>1331</v>
      </c>
      <c r="R2" s="11" t="s">
        <v>1326</v>
      </c>
      <c r="S2" s="11" t="s">
        <v>1334</v>
      </c>
    </row>
    <row r="3" spans="1:19" ht="15" hidden="1" thickTop="1" x14ac:dyDescent="0.35">
      <c r="A3" s="1" t="s">
        <v>1254</v>
      </c>
      <c r="B3" s="1" t="s">
        <v>4</v>
      </c>
      <c r="C3" s="1" t="s">
        <v>841</v>
      </c>
      <c r="D3" s="2">
        <v>42005</v>
      </c>
      <c r="E3" s="3">
        <v>1584000</v>
      </c>
      <c r="F3" s="3">
        <v>-1584000</v>
      </c>
      <c r="G3" s="3">
        <v>0</v>
      </c>
      <c r="H3" s="1" t="s">
        <v>0</v>
      </c>
      <c r="I3" s="1" t="s">
        <v>2</v>
      </c>
      <c r="J3" s="1" t="s">
        <v>56</v>
      </c>
      <c r="K3" s="2"/>
      <c r="L3" s="1">
        <v>47567015</v>
      </c>
      <c r="M3" t="s">
        <v>1272</v>
      </c>
      <c r="N3">
        <v>41756150</v>
      </c>
      <c r="O3" t="s">
        <v>1315</v>
      </c>
    </row>
    <row r="4" spans="1:19" ht="15" thickTop="1" x14ac:dyDescent="0.35">
      <c r="A4" s="1" t="s">
        <v>1253</v>
      </c>
      <c r="B4" s="1" t="s">
        <v>4</v>
      </c>
      <c r="C4" s="1" t="s">
        <v>1252</v>
      </c>
      <c r="D4" s="2">
        <v>42005</v>
      </c>
      <c r="E4" s="17">
        <v>2890000</v>
      </c>
      <c r="F4" s="17">
        <v>-2551514</v>
      </c>
      <c r="G4" s="17">
        <v>338486</v>
      </c>
      <c r="H4" s="1" t="s">
        <v>0</v>
      </c>
      <c r="I4" s="1" t="s">
        <v>2</v>
      </c>
      <c r="J4" s="18" t="s">
        <v>76</v>
      </c>
      <c r="K4" s="2"/>
      <c r="L4" s="14">
        <v>47544024</v>
      </c>
      <c r="M4" t="s">
        <v>1275</v>
      </c>
      <c r="N4" s="12">
        <v>41754150</v>
      </c>
      <c r="O4" t="s">
        <v>1356</v>
      </c>
    </row>
    <row r="5" spans="1:19" x14ac:dyDescent="0.35">
      <c r="A5" s="1" t="s">
        <v>1251</v>
      </c>
      <c r="B5" s="1" t="s">
        <v>4</v>
      </c>
      <c r="C5" s="1" t="s">
        <v>1250</v>
      </c>
      <c r="D5" s="2">
        <v>42005</v>
      </c>
      <c r="E5" s="3">
        <v>10900000</v>
      </c>
      <c r="F5" s="3">
        <v>-6415573</v>
      </c>
      <c r="G5" s="3">
        <v>4484427</v>
      </c>
      <c r="H5" s="1" t="s">
        <v>0</v>
      </c>
      <c r="I5" s="1" t="s">
        <v>2</v>
      </c>
      <c r="J5" s="1" t="s">
        <v>76</v>
      </c>
      <c r="K5" s="2"/>
      <c r="L5" s="14">
        <v>47544011</v>
      </c>
      <c r="M5" t="s">
        <v>1276</v>
      </c>
      <c r="N5" s="12">
        <v>41754150</v>
      </c>
      <c r="O5" t="s">
        <v>1357</v>
      </c>
    </row>
    <row r="6" spans="1:19" x14ac:dyDescent="0.35">
      <c r="A6" s="1" t="s">
        <v>1249</v>
      </c>
      <c r="B6" s="1" t="s">
        <v>4</v>
      </c>
      <c r="C6" s="1" t="s">
        <v>1248</v>
      </c>
      <c r="D6" s="2">
        <v>42005</v>
      </c>
      <c r="E6" s="3">
        <v>151751504</v>
      </c>
      <c r="F6" s="3">
        <v>-133977867</v>
      </c>
      <c r="G6" s="3">
        <v>17773637</v>
      </c>
      <c r="H6" s="1" t="s">
        <v>0</v>
      </c>
      <c r="I6" s="1" t="s">
        <v>2</v>
      </c>
      <c r="J6" s="1" t="s">
        <v>76</v>
      </c>
      <c r="K6" s="2"/>
      <c r="L6" s="14">
        <v>47544032</v>
      </c>
      <c r="M6" t="s">
        <v>1277</v>
      </c>
      <c r="N6" s="12">
        <v>41754150</v>
      </c>
      <c r="O6" t="s">
        <v>1321</v>
      </c>
    </row>
    <row r="7" spans="1:19" x14ac:dyDescent="0.35">
      <c r="A7" s="1" t="s">
        <v>1247</v>
      </c>
      <c r="B7" s="1" t="s">
        <v>4</v>
      </c>
      <c r="C7" s="1" t="s">
        <v>1246</v>
      </c>
      <c r="D7" s="2">
        <v>42005</v>
      </c>
      <c r="E7" s="3">
        <v>160000000</v>
      </c>
      <c r="F7" s="3">
        <v>-141260274</v>
      </c>
      <c r="G7" s="3">
        <v>18739726</v>
      </c>
      <c r="H7" s="1" t="s">
        <v>0</v>
      </c>
      <c r="I7" s="1" t="s">
        <v>2</v>
      </c>
      <c r="J7" s="1" t="s">
        <v>76</v>
      </c>
      <c r="K7" s="2"/>
      <c r="L7" s="14">
        <v>47544025</v>
      </c>
      <c r="M7" t="s">
        <v>1278</v>
      </c>
      <c r="N7" s="12">
        <v>41754150</v>
      </c>
      <c r="O7" t="s">
        <v>1338</v>
      </c>
    </row>
    <row r="8" spans="1:19" x14ac:dyDescent="0.35">
      <c r="A8" s="1" t="s">
        <v>1245</v>
      </c>
      <c r="B8" s="1" t="s">
        <v>4</v>
      </c>
      <c r="C8" s="1" t="s">
        <v>1244</v>
      </c>
      <c r="D8" s="2">
        <v>42174</v>
      </c>
      <c r="E8" s="3">
        <v>6284045</v>
      </c>
      <c r="F8" s="3">
        <v>-5417123</v>
      </c>
      <c r="G8" s="3">
        <v>866922</v>
      </c>
      <c r="H8" s="1" t="s">
        <v>0</v>
      </c>
      <c r="I8" s="1" t="s">
        <v>2</v>
      </c>
      <c r="J8" s="1" t="s">
        <v>76</v>
      </c>
      <c r="K8" s="2"/>
      <c r="L8" s="14">
        <v>47544025</v>
      </c>
      <c r="M8" t="s">
        <v>1278</v>
      </c>
      <c r="N8" s="12">
        <v>41754150</v>
      </c>
      <c r="O8" t="s">
        <v>1338</v>
      </c>
    </row>
    <row r="9" spans="1:19" hidden="1" x14ac:dyDescent="0.35">
      <c r="A9" s="1" t="s">
        <v>1243</v>
      </c>
      <c r="B9" s="1" t="s">
        <v>4</v>
      </c>
      <c r="C9" s="1" t="s">
        <v>1242</v>
      </c>
      <c r="D9" s="2">
        <v>42702</v>
      </c>
      <c r="E9" s="3">
        <v>97440000</v>
      </c>
      <c r="F9" s="3">
        <v>-51397004</v>
      </c>
      <c r="G9" s="3">
        <v>46042996</v>
      </c>
      <c r="H9" s="1" t="s">
        <v>0</v>
      </c>
      <c r="I9" s="1" t="s">
        <v>2</v>
      </c>
      <c r="J9" s="1" t="s">
        <v>76</v>
      </c>
      <c r="K9" s="2"/>
      <c r="L9" s="1">
        <v>47567015</v>
      </c>
      <c r="M9" t="s">
        <v>1272</v>
      </c>
      <c r="N9">
        <v>41756150</v>
      </c>
      <c r="O9" t="s">
        <v>1315</v>
      </c>
    </row>
    <row r="10" spans="1:19" hidden="1" x14ac:dyDescent="0.35">
      <c r="A10" s="1" t="s">
        <v>1241</v>
      </c>
      <c r="B10" s="1" t="s">
        <v>4</v>
      </c>
      <c r="C10" s="1" t="s">
        <v>1240</v>
      </c>
      <c r="D10" s="2">
        <v>42736</v>
      </c>
      <c r="E10" s="3">
        <v>1800000</v>
      </c>
      <c r="F10" s="3">
        <v>-1800000</v>
      </c>
      <c r="G10" s="3">
        <v>0</v>
      </c>
      <c r="H10" s="1" t="s">
        <v>0</v>
      </c>
      <c r="I10" s="1" t="s">
        <v>2</v>
      </c>
      <c r="J10" s="1" t="s">
        <v>355</v>
      </c>
      <c r="K10" s="2"/>
      <c r="L10" s="1">
        <v>47502031</v>
      </c>
      <c r="M10" t="s">
        <v>1279</v>
      </c>
      <c r="N10">
        <v>41750150</v>
      </c>
      <c r="O10" t="s">
        <v>1314</v>
      </c>
      <c r="P10" t="s">
        <v>1332</v>
      </c>
      <c r="R10" t="s">
        <v>1327</v>
      </c>
    </row>
    <row r="11" spans="1:19" hidden="1" x14ac:dyDescent="0.35">
      <c r="A11" s="1" t="s">
        <v>1239</v>
      </c>
      <c r="B11" s="1" t="s">
        <v>4</v>
      </c>
      <c r="C11" s="1" t="s">
        <v>1238</v>
      </c>
      <c r="D11" s="2">
        <v>42736</v>
      </c>
      <c r="E11" s="3">
        <v>2098000</v>
      </c>
      <c r="F11" s="3">
        <v>-2098000</v>
      </c>
      <c r="G11" s="3">
        <v>0</v>
      </c>
      <c r="H11" s="1" t="s">
        <v>0</v>
      </c>
      <c r="I11" s="1" t="s">
        <v>2</v>
      </c>
      <c r="J11" s="1" t="s">
        <v>355</v>
      </c>
      <c r="K11" s="2"/>
      <c r="L11" s="1">
        <v>47567015</v>
      </c>
      <c r="M11" t="s">
        <v>1272</v>
      </c>
      <c r="N11">
        <v>41756150</v>
      </c>
      <c r="O11" t="s">
        <v>1315</v>
      </c>
    </row>
    <row r="12" spans="1:19" hidden="1" x14ac:dyDescent="0.35">
      <c r="A12" s="1" t="s">
        <v>1237</v>
      </c>
      <c r="B12" s="1" t="s">
        <v>4</v>
      </c>
      <c r="C12" s="1" t="s">
        <v>1236</v>
      </c>
      <c r="D12" s="2">
        <v>42736</v>
      </c>
      <c r="E12" s="3">
        <v>4774280</v>
      </c>
      <c r="F12" s="3">
        <v>-4774280</v>
      </c>
      <c r="G12" s="3">
        <v>0</v>
      </c>
      <c r="H12" s="1" t="s">
        <v>0</v>
      </c>
      <c r="I12" s="1" t="s">
        <v>2</v>
      </c>
      <c r="J12" s="1" t="s">
        <v>355</v>
      </c>
      <c r="K12" s="2"/>
      <c r="L12" s="1">
        <v>47567015</v>
      </c>
      <c r="M12" t="s">
        <v>1272</v>
      </c>
      <c r="N12">
        <v>41756150</v>
      </c>
      <c r="O12" t="s">
        <v>1315</v>
      </c>
    </row>
    <row r="13" spans="1:19" hidden="1" x14ac:dyDescent="0.35">
      <c r="A13" s="1" t="s">
        <v>1235</v>
      </c>
      <c r="B13" s="1" t="s">
        <v>4</v>
      </c>
      <c r="C13" s="1" t="s">
        <v>1234</v>
      </c>
      <c r="D13" s="2">
        <v>42765</v>
      </c>
      <c r="E13" s="3">
        <v>2610000</v>
      </c>
      <c r="F13" s="3">
        <v>-2610000</v>
      </c>
      <c r="G13" s="3">
        <v>0</v>
      </c>
      <c r="H13" s="1" t="s">
        <v>0</v>
      </c>
      <c r="I13" s="1" t="s">
        <v>2</v>
      </c>
      <c r="J13" s="1" t="s">
        <v>56</v>
      </c>
      <c r="K13" s="2"/>
      <c r="L13" s="1">
        <v>47567015</v>
      </c>
      <c r="M13" t="s">
        <v>1272</v>
      </c>
      <c r="N13">
        <v>41756150</v>
      </c>
      <c r="O13" t="s">
        <v>1315</v>
      </c>
    </row>
    <row r="14" spans="1:19" hidden="1" x14ac:dyDescent="0.35">
      <c r="A14" s="1" t="s">
        <v>1233</v>
      </c>
      <c r="B14" s="1" t="s">
        <v>4</v>
      </c>
      <c r="C14" s="1" t="s">
        <v>1232</v>
      </c>
      <c r="D14" s="2">
        <v>42790</v>
      </c>
      <c r="E14" s="3">
        <v>3029740</v>
      </c>
      <c r="F14" s="3">
        <v>-2359289</v>
      </c>
      <c r="G14" s="3">
        <v>670451</v>
      </c>
      <c r="H14" s="1" t="s">
        <v>0</v>
      </c>
      <c r="I14" s="1" t="s">
        <v>2</v>
      </c>
      <c r="J14" s="1" t="s">
        <v>76</v>
      </c>
      <c r="K14" s="2"/>
      <c r="L14" s="1">
        <v>47567015</v>
      </c>
      <c r="M14" t="s">
        <v>1272</v>
      </c>
      <c r="N14">
        <v>41756150</v>
      </c>
      <c r="O14" t="s">
        <v>1315</v>
      </c>
    </row>
    <row r="15" spans="1:19" x14ac:dyDescent="0.35">
      <c r="A15" s="1" t="s">
        <v>1229</v>
      </c>
      <c r="B15" s="1" t="s">
        <v>4</v>
      </c>
      <c r="C15" s="1" t="s">
        <v>1231</v>
      </c>
      <c r="D15" s="2">
        <v>42795</v>
      </c>
      <c r="E15" s="3">
        <v>746574046</v>
      </c>
      <c r="F15" s="3">
        <v>-289126990</v>
      </c>
      <c r="G15" s="3">
        <v>457447056</v>
      </c>
      <c r="H15" s="1" t="s">
        <v>0</v>
      </c>
      <c r="I15" s="1" t="s">
        <v>2</v>
      </c>
      <c r="J15" s="1" t="s">
        <v>76</v>
      </c>
      <c r="K15" s="2"/>
      <c r="L15" s="14">
        <v>47544015</v>
      </c>
      <c r="M15" t="s">
        <v>1280</v>
      </c>
      <c r="N15" s="12">
        <v>41754150</v>
      </c>
      <c r="O15" t="s">
        <v>1340</v>
      </c>
    </row>
    <row r="16" spans="1:19" x14ac:dyDescent="0.35">
      <c r="A16" s="1" t="s">
        <v>1229</v>
      </c>
      <c r="B16" s="1" t="s">
        <v>23</v>
      </c>
      <c r="C16" s="1" t="s">
        <v>1230</v>
      </c>
      <c r="D16" s="2">
        <v>44895</v>
      </c>
      <c r="E16" s="3">
        <v>37139561</v>
      </c>
      <c r="F16" s="3">
        <v>-7463825</v>
      </c>
      <c r="G16" s="3">
        <v>29675736</v>
      </c>
      <c r="H16" s="1" t="s">
        <v>0</v>
      </c>
      <c r="I16" s="1" t="s">
        <v>2</v>
      </c>
      <c r="J16" s="1" t="s">
        <v>76</v>
      </c>
      <c r="K16" s="2"/>
      <c r="L16" s="14">
        <v>47544015</v>
      </c>
      <c r="M16" t="s">
        <v>1280</v>
      </c>
      <c r="N16" s="12">
        <v>41754150</v>
      </c>
      <c r="O16" t="s">
        <v>1340</v>
      </c>
    </row>
    <row r="17" spans="1:19" x14ac:dyDescent="0.35">
      <c r="A17" s="1" t="s">
        <v>1229</v>
      </c>
      <c r="B17" s="1" t="s">
        <v>22</v>
      </c>
      <c r="C17" s="1" t="s">
        <v>1228</v>
      </c>
      <c r="D17" s="2">
        <v>44844</v>
      </c>
      <c r="E17" s="3">
        <v>25760840</v>
      </c>
      <c r="F17" s="3">
        <v>-6107318</v>
      </c>
      <c r="G17" s="3">
        <v>19653522</v>
      </c>
      <c r="H17" s="1" t="s">
        <v>0</v>
      </c>
      <c r="I17" s="1" t="s">
        <v>2</v>
      </c>
      <c r="J17" s="1" t="s">
        <v>76</v>
      </c>
      <c r="K17" s="2"/>
      <c r="L17" s="14">
        <v>47544015</v>
      </c>
      <c r="M17" t="s">
        <v>1280</v>
      </c>
      <c r="N17" s="12">
        <v>41754150</v>
      </c>
      <c r="O17" t="s">
        <v>1340</v>
      </c>
    </row>
    <row r="18" spans="1:19" x14ac:dyDescent="0.35">
      <c r="A18" s="1" t="s">
        <v>1227</v>
      </c>
      <c r="B18" s="1" t="s">
        <v>4</v>
      </c>
      <c r="C18" s="1" t="s">
        <v>1226</v>
      </c>
      <c r="D18" s="2">
        <v>42815</v>
      </c>
      <c r="E18" s="3">
        <v>2142000</v>
      </c>
      <c r="F18" s="3">
        <v>-2142000</v>
      </c>
      <c r="G18" s="3">
        <v>0</v>
      </c>
      <c r="H18" s="1" t="s">
        <v>0</v>
      </c>
      <c r="I18" s="1" t="s">
        <v>2</v>
      </c>
      <c r="J18" s="1" t="s">
        <v>76</v>
      </c>
      <c r="K18" s="2"/>
      <c r="L18" s="14">
        <v>47544018</v>
      </c>
      <c r="M18" t="s">
        <v>1281</v>
      </c>
      <c r="N18" s="12">
        <v>41754150</v>
      </c>
      <c r="O18" t="s">
        <v>1347</v>
      </c>
      <c r="S18" t="s">
        <v>1344</v>
      </c>
    </row>
    <row r="19" spans="1:19" x14ac:dyDescent="0.35">
      <c r="A19" s="1" t="s">
        <v>1225</v>
      </c>
      <c r="B19" s="1" t="s">
        <v>4</v>
      </c>
      <c r="C19" s="1" t="s">
        <v>1224</v>
      </c>
      <c r="D19" s="2">
        <v>42856</v>
      </c>
      <c r="E19" s="3">
        <v>230000</v>
      </c>
      <c r="F19" s="3">
        <v>-168456</v>
      </c>
      <c r="G19" s="3">
        <v>61544</v>
      </c>
      <c r="H19" s="1" t="s">
        <v>0</v>
      </c>
      <c r="I19" s="1" t="s">
        <v>2</v>
      </c>
      <c r="J19" s="1" t="s">
        <v>24</v>
      </c>
      <c r="K19" s="2"/>
      <c r="L19" s="14">
        <v>47544021</v>
      </c>
      <c r="M19" t="s">
        <v>1282</v>
      </c>
      <c r="N19" s="12">
        <v>41754150</v>
      </c>
      <c r="O19" t="s">
        <v>1345</v>
      </c>
    </row>
    <row r="20" spans="1:19" x14ac:dyDescent="0.35">
      <c r="A20" s="1" t="s">
        <v>1223</v>
      </c>
      <c r="B20" s="1" t="s">
        <v>4</v>
      </c>
      <c r="C20" s="1" t="s">
        <v>1222</v>
      </c>
      <c r="D20" s="2">
        <v>42856</v>
      </c>
      <c r="E20" s="3">
        <v>450000</v>
      </c>
      <c r="F20" s="3">
        <v>-329589</v>
      </c>
      <c r="G20" s="3">
        <v>120411</v>
      </c>
      <c r="H20" s="1" t="s">
        <v>0</v>
      </c>
      <c r="I20" s="1" t="s">
        <v>2</v>
      </c>
      <c r="J20" s="1" t="s">
        <v>24</v>
      </c>
      <c r="K20" s="2"/>
      <c r="L20" s="14">
        <v>47544018</v>
      </c>
      <c r="M20" t="s">
        <v>1281</v>
      </c>
      <c r="N20" s="12">
        <v>41754150</v>
      </c>
      <c r="O20" t="s">
        <v>1336</v>
      </c>
      <c r="S20" t="s">
        <v>1344</v>
      </c>
    </row>
    <row r="21" spans="1:19" x14ac:dyDescent="0.35">
      <c r="A21" s="1" t="s">
        <v>1221</v>
      </c>
      <c r="B21" s="1" t="s">
        <v>4</v>
      </c>
      <c r="C21" s="1" t="s">
        <v>1220</v>
      </c>
      <c r="D21" s="2">
        <v>42856</v>
      </c>
      <c r="E21" s="3">
        <v>450000</v>
      </c>
      <c r="F21" s="3">
        <v>-329589</v>
      </c>
      <c r="G21" s="3">
        <v>120411</v>
      </c>
      <c r="H21" s="1" t="s">
        <v>0</v>
      </c>
      <c r="I21" s="1" t="s">
        <v>2</v>
      </c>
      <c r="J21" s="1" t="s">
        <v>24</v>
      </c>
      <c r="K21" s="2"/>
      <c r="L21" s="14">
        <v>47544018</v>
      </c>
      <c r="M21" t="s">
        <v>1281</v>
      </c>
      <c r="N21" s="12">
        <v>41754150</v>
      </c>
      <c r="O21" t="s">
        <v>1336</v>
      </c>
      <c r="S21" t="s">
        <v>1344</v>
      </c>
    </row>
    <row r="22" spans="1:19" x14ac:dyDescent="0.35">
      <c r="A22" s="1" t="s">
        <v>1219</v>
      </c>
      <c r="B22" s="1" t="s">
        <v>4</v>
      </c>
      <c r="C22" s="1" t="s">
        <v>1218</v>
      </c>
      <c r="D22" s="2">
        <v>42856</v>
      </c>
      <c r="E22" s="3">
        <v>455000</v>
      </c>
      <c r="F22" s="3">
        <v>-333251</v>
      </c>
      <c r="G22" s="3">
        <v>121749</v>
      </c>
      <c r="H22" s="1" t="s">
        <v>0</v>
      </c>
      <c r="I22" s="1" t="s">
        <v>2</v>
      </c>
      <c r="J22" s="1" t="s">
        <v>24</v>
      </c>
      <c r="K22" s="2"/>
      <c r="L22" s="14">
        <v>47544018</v>
      </c>
      <c r="M22" t="s">
        <v>1281</v>
      </c>
      <c r="N22" s="12">
        <v>41754150</v>
      </c>
      <c r="O22" t="s">
        <v>1336</v>
      </c>
      <c r="S22" t="s">
        <v>1344</v>
      </c>
    </row>
    <row r="23" spans="1:19" x14ac:dyDescent="0.35">
      <c r="A23" s="1" t="s">
        <v>1217</v>
      </c>
      <c r="B23" s="1" t="s">
        <v>4</v>
      </c>
      <c r="C23" s="1" t="s">
        <v>1216</v>
      </c>
      <c r="D23" s="2">
        <v>42856</v>
      </c>
      <c r="E23" s="3">
        <v>844000</v>
      </c>
      <c r="F23" s="3">
        <v>-618163</v>
      </c>
      <c r="G23" s="3">
        <v>225837</v>
      </c>
      <c r="H23" s="1" t="s">
        <v>0</v>
      </c>
      <c r="I23" s="1" t="s">
        <v>2</v>
      </c>
      <c r="J23" s="1" t="s">
        <v>76</v>
      </c>
      <c r="K23" s="2"/>
      <c r="L23" s="14">
        <v>47544018</v>
      </c>
      <c r="M23" t="s">
        <v>1281</v>
      </c>
      <c r="N23" s="12">
        <v>41754150</v>
      </c>
      <c r="O23" t="s">
        <v>1347</v>
      </c>
    </row>
    <row r="24" spans="1:19" x14ac:dyDescent="0.35">
      <c r="A24" s="1" t="s">
        <v>1215</v>
      </c>
      <c r="B24" s="1" t="s">
        <v>4</v>
      </c>
      <c r="C24" s="1" t="s">
        <v>1214</v>
      </c>
      <c r="D24" s="2">
        <v>42856</v>
      </c>
      <c r="E24" s="3">
        <v>1000000</v>
      </c>
      <c r="F24" s="3">
        <v>-732420</v>
      </c>
      <c r="G24" s="3">
        <v>267580</v>
      </c>
      <c r="H24" s="1" t="s">
        <v>0</v>
      </c>
      <c r="I24" s="1" t="s">
        <v>2</v>
      </c>
      <c r="J24" s="1" t="s">
        <v>76</v>
      </c>
      <c r="K24" s="2"/>
      <c r="L24" s="14">
        <v>47544017</v>
      </c>
      <c r="M24" t="s">
        <v>1283</v>
      </c>
      <c r="N24" s="12">
        <v>41754150</v>
      </c>
      <c r="O24" t="s">
        <v>1348</v>
      </c>
    </row>
    <row r="25" spans="1:19" x14ac:dyDescent="0.35">
      <c r="A25" s="1" t="s">
        <v>1213</v>
      </c>
      <c r="B25" s="1" t="s">
        <v>4</v>
      </c>
      <c r="C25" s="1" t="s">
        <v>1212</v>
      </c>
      <c r="D25" s="2">
        <v>42856</v>
      </c>
      <c r="E25" s="3">
        <v>1055000</v>
      </c>
      <c r="F25" s="3">
        <v>-772703</v>
      </c>
      <c r="G25" s="3">
        <v>282297</v>
      </c>
      <c r="H25" s="1" t="s">
        <v>0</v>
      </c>
      <c r="I25" s="1" t="s">
        <v>2</v>
      </c>
      <c r="J25" s="1" t="s">
        <v>76</v>
      </c>
      <c r="K25" s="2"/>
      <c r="L25" s="14">
        <v>47544017</v>
      </c>
      <c r="M25" t="s">
        <v>1283</v>
      </c>
      <c r="N25" s="12">
        <v>41754150</v>
      </c>
      <c r="O25" t="s">
        <v>1349</v>
      </c>
    </row>
    <row r="26" spans="1:19" x14ac:dyDescent="0.35">
      <c r="A26" s="1" t="s">
        <v>1211</v>
      </c>
      <c r="B26" s="1" t="s">
        <v>4</v>
      </c>
      <c r="C26" s="1" t="s">
        <v>1210</v>
      </c>
      <c r="D26" s="2">
        <v>42856</v>
      </c>
      <c r="E26" s="3">
        <v>1191000</v>
      </c>
      <c r="F26" s="3">
        <v>-872312</v>
      </c>
      <c r="G26" s="3">
        <v>318688</v>
      </c>
      <c r="H26" s="1" t="s">
        <v>0</v>
      </c>
      <c r="I26" s="1" t="s">
        <v>2</v>
      </c>
      <c r="J26" s="1" t="s">
        <v>24</v>
      </c>
      <c r="K26" s="2"/>
      <c r="L26" s="14">
        <v>47544017</v>
      </c>
      <c r="M26" t="s">
        <v>1283</v>
      </c>
      <c r="N26" s="12">
        <v>41754150</v>
      </c>
      <c r="O26" t="s">
        <v>1348</v>
      </c>
    </row>
    <row r="27" spans="1:19" hidden="1" x14ac:dyDescent="0.35">
      <c r="A27" s="1" t="s">
        <v>1209</v>
      </c>
      <c r="B27" s="1" t="s">
        <v>4</v>
      </c>
      <c r="C27" s="1" t="s">
        <v>1208</v>
      </c>
      <c r="D27" s="2">
        <v>42856</v>
      </c>
      <c r="E27" s="3">
        <v>1650000</v>
      </c>
      <c r="F27" s="3">
        <v>-632123</v>
      </c>
      <c r="G27" s="3">
        <v>1017877</v>
      </c>
      <c r="H27" s="1" t="s">
        <v>0</v>
      </c>
      <c r="I27" s="1" t="s">
        <v>2</v>
      </c>
      <c r="J27" s="1" t="s">
        <v>76</v>
      </c>
      <c r="K27" s="2"/>
      <c r="L27" s="1">
        <v>47567015</v>
      </c>
      <c r="M27" t="s">
        <v>1272</v>
      </c>
      <c r="N27">
        <v>41756150</v>
      </c>
      <c r="O27" t="s">
        <v>1315</v>
      </c>
    </row>
    <row r="28" spans="1:19" x14ac:dyDescent="0.35">
      <c r="A28" s="1" t="s">
        <v>1204</v>
      </c>
      <c r="B28" s="1" t="s">
        <v>4</v>
      </c>
      <c r="C28" s="1" t="s">
        <v>1207</v>
      </c>
      <c r="D28" s="2">
        <v>42856</v>
      </c>
      <c r="E28" s="3">
        <v>2500000</v>
      </c>
      <c r="F28" s="3">
        <v>-957763</v>
      </c>
      <c r="G28" s="3">
        <v>1542237</v>
      </c>
      <c r="H28" s="1" t="s">
        <v>0</v>
      </c>
      <c r="I28" s="1" t="s">
        <v>2</v>
      </c>
      <c r="J28" s="1" t="s">
        <v>76</v>
      </c>
      <c r="K28" s="2"/>
      <c r="L28" s="14">
        <v>47544018</v>
      </c>
      <c r="M28" t="s">
        <v>1281</v>
      </c>
      <c r="N28" s="12">
        <v>41754150</v>
      </c>
      <c r="O28" t="s">
        <v>1348</v>
      </c>
    </row>
    <row r="29" spans="1:19" x14ac:dyDescent="0.35">
      <c r="A29" s="1" t="s">
        <v>1204</v>
      </c>
      <c r="B29" s="1" t="s">
        <v>23</v>
      </c>
      <c r="C29" s="1" t="s">
        <v>1206</v>
      </c>
      <c r="D29" s="2">
        <v>44727</v>
      </c>
      <c r="E29" s="3">
        <v>3377550</v>
      </c>
      <c r="F29" s="3">
        <v>-654691</v>
      </c>
      <c r="G29" s="3">
        <v>2722859</v>
      </c>
      <c r="H29" s="1" t="s">
        <v>0</v>
      </c>
      <c r="I29" s="1" t="s">
        <v>2</v>
      </c>
      <c r="J29" s="1" t="s">
        <v>76</v>
      </c>
      <c r="K29" s="2"/>
      <c r="L29" s="14">
        <v>47544018</v>
      </c>
      <c r="M29" t="s">
        <v>1281</v>
      </c>
      <c r="N29" s="12">
        <v>41754150</v>
      </c>
      <c r="O29" t="s">
        <v>1348</v>
      </c>
    </row>
    <row r="30" spans="1:19" x14ac:dyDescent="0.35">
      <c r="A30" s="1" t="s">
        <v>1204</v>
      </c>
      <c r="B30" s="1" t="s">
        <v>22</v>
      </c>
      <c r="C30" s="1" t="s">
        <v>1205</v>
      </c>
      <c r="D30" s="2">
        <v>44727</v>
      </c>
      <c r="E30" s="3">
        <v>1786565</v>
      </c>
      <c r="F30" s="3">
        <v>-346299</v>
      </c>
      <c r="G30" s="3">
        <v>1440266</v>
      </c>
      <c r="H30" s="1" t="s">
        <v>0</v>
      </c>
      <c r="I30" s="1" t="s">
        <v>2</v>
      </c>
      <c r="J30" s="1" t="s">
        <v>76</v>
      </c>
      <c r="K30" s="2"/>
      <c r="L30" s="14">
        <v>47544018</v>
      </c>
      <c r="M30" t="s">
        <v>1281</v>
      </c>
      <c r="N30" s="12">
        <v>41754150</v>
      </c>
      <c r="O30" t="s">
        <v>1348</v>
      </c>
    </row>
    <row r="31" spans="1:19" x14ac:dyDescent="0.35">
      <c r="A31" s="1" t="s">
        <v>1204</v>
      </c>
      <c r="B31" s="1" t="s">
        <v>20</v>
      </c>
      <c r="C31" s="1" t="s">
        <v>1203</v>
      </c>
      <c r="D31" s="2">
        <v>45182</v>
      </c>
      <c r="E31" s="3">
        <v>1277194572</v>
      </c>
      <c r="F31" s="3">
        <v>-335919668</v>
      </c>
      <c r="G31" s="3">
        <v>941274904</v>
      </c>
      <c r="H31" s="1" t="s">
        <v>0</v>
      </c>
      <c r="I31" s="1" t="s">
        <v>2</v>
      </c>
      <c r="J31" s="1" t="s">
        <v>76</v>
      </c>
      <c r="K31" s="2"/>
      <c r="L31" s="14">
        <v>47544018</v>
      </c>
      <c r="M31" t="s">
        <v>1281</v>
      </c>
      <c r="N31" s="12">
        <v>41754150</v>
      </c>
      <c r="O31" t="s">
        <v>1348</v>
      </c>
    </row>
    <row r="32" spans="1:19" x14ac:dyDescent="0.35">
      <c r="A32" s="1" t="s">
        <v>1202</v>
      </c>
      <c r="B32" s="1" t="s">
        <v>4</v>
      </c>
      <c r="C32" s="1" t="s">
        <v>1201</v>
      </c>
      <c r="D32" s="2">
        <v>42856</v>
      </c>
      <c r="E32" s="3">
        <v>2577000</v>
      </c>
      <c r="F32" s="3">
        <v>-987262</v>
      </c>
      <c r="G32" s="3">
        <v>1589738</v>
      </c>
      <c r="H32" s="1" t="s">
        <v>0</v>
      </c>
      <c r="I32" s="1" t="s">
        <v>2</v>
      </c>
      <c r="J32" s="1" t="s">
        <v>24</v>
      </c>
      <c r="K32" s="2"/>
      <c r="L32" s="14">
        <v>47544018</v>
      </c>
      <c r="M32" t="s">
        <v>1281</v>
      </c>
      <c r="N32" s="12">
        <v>41754150</v>
      </c>
      <c r="O32" t="s">
        <v>1345</v>
      </c>
    </row>
    <row r="33" spans="1:19" x14ac:dyDescent="0.35">
      <c r="A33" s="1" t="s">
        <v>1200</v>
      </c>
      <c r="B33" s="1" t="s">
        <v>4</v>
      </c>
      <c r="C33" s="1" t="s">
        <v>1199</v>
      </c>
      <c r="D33" s="2">
        <v>42856</v>
      </c>
      <c r="E33" s="3">
        <v>2800000</v>
      </c>
      <c r="F33" s="3">
        <v>-1072694</v>
      </c>
      <c r="G33" s="3">
        <v>1727306</v>
      </c>
      <c r="H33" s="1" t="s">
        <v>0</v>
      </c>
      <c r="I33" s="1" t="s">
        <v>2</v>
      </c>
      <c r="J33" s="1" t="s">
        <v>24</v>
      </c>
      <c r="K33" s="2"/>
      <c r="L33" s="14">
        <v>47544015</v>
      </c>
      <c r="M33" t="s">
        <v>1280</v>
      </c>
      <c r="N33" s="12">
        <v>41754150</v>
      </c>
      <c r="O33" t="s">
        <v>1340</v>
      </c>
      <c r="S33" t="s">
        <v>1344</v>
      </c>
    </row>
    <row r="34" spans="1:19" x14ac:dyDescent="0.35">
      <c r="A34" s="1" t="s">
        <v>1198</v>
      </c>
      <c r="B34" s="1" t="s">
        <v>4</v>
      </c>
      <c r="C34" s="1" t="s">
        <v>1197</v>
      </c>
      <c r="D34" s="2">
        <v>42856</v>
      </c>
      <c r="E34" s="3">
        <v>3000000</v>
      </c>
      <c r="F34" s="3">
        <v>-1149315</v>
      </c>
      <c r="G34" s="3">
        <v>1850685</v>
      </c>
      <c r="H34" s="1" t="s">
        <v>0</v>
      </c>
      <c r="I34" s="1" t="s">
        <v>2</v>
      </c>
      <c r="J34" s="1" t="s">
        <v>76</v>
      </c>
      <c r="K34" s="2"/>
      <c r="L34" s="14">
        <v>47544017</v>
      </c>
      <c r="M34" t="s">
        <v>1283</v>
      </c>
      <c r="N34" s="12">
        <v>41754150</v>
      </c>
      <c r="O34" t="s">
        <v>1347</v>
      </c>
    </row>
    <row r="35" spans="1:19" x14ac:dyDescent="0.35">
      <c r="A35" s="1" t="s">
        <v>1196</v>
      </c>
      <c r="B35" s="1" t="s">
        <v>4</v>
      </c>
      <c r="C35" s="1" t="s">
        <v>1195</v>
      </c>
      <c r="D35" s="2">
        <v>42856</v>
      </c>
      <c r="E35" s="3">
        <v>6200000</v>
      </c>
      <c r="F35" s="3">
        <v>-2375251</v>
      </c>
      <c r="G35" s="3">
        <v>3824749</v>
      </c>
      <c r="H35" s="1" t="s">
        <v>0</v>
      </c>
      <c r="I35" s="1" t="s">
        <v>2</v>
      </c>
      <c r="J35" s="1" t="s">
        <v>76</v>
      </c>
      <c r="K35" s="2"/>
      <c r="L35" s="14">
        <v>47544018</v>
      </c>
      <c r="M35" t="s">
        <v>1281</v>
      </c>
      <c r="N35" s="12">
        <v>41754150</v>
      </c>
      <c r="O35" t="s">
        <v>1349</v>
      </c>
    </row>
    <row r="36" spans="1:19" x14ac:dyDescent="0.35">
      <c r="A36" s="1" t="s">
        <v>1194</v>
      </c>
      <c r="B36" s="1" t="s">
        <v>4</v>
      </c>
      <c r="C36" s="1" t="s">
        <v>1193</v>
      </c>
      <c r="D36" s="2">
        <v>42856</v>
      </c>
      <c r="E36" s="3">
        <v>7500000</v>
      </c>
      <c r="F36" s="3">
        <v>-2873288</v>
      </c>
      <c r="G36" s="3">
        <v>4626712</v>
      </c>
      <c r="H36" s="1" t="s">
        <v>0</v>
      </c>
      <c r="I36" s="1" t="s">
        <v>2</v>
      </c>
      <c r="J36" s="1" t="s">
        <v>24</v>
      </c>
      <c r="K36" s="2"/>
      <c r="L36" s="14">
        <v>47544018</v>
      </c>
      <c r="M36" t="s">
        <v>1281</v>
      </c>
      <c r="N36" s="12">
        <v>41754150</v>
      </c>
      <c r="O36" t="s">
        <v>1348</v>
      </c>
    </row>
    <row r="37" spans="1:19" x14ac:dyDescent="0.35">
      <c r="A37" s="1" t="s">
        <v>1192</v>
      </c>
      <c r="B37" s="1" t="s">
        <v>4</v>
      </c>
      <c r="C37" s="1" t="s">
        <v>1191</v>
      </c>
      <c r="D37" s="2">
        <v>42856</v>
      </c>
      <c r="E37" s="3">
        <v>10000000</v>
      </c>
      <c r="F37" s="3">
        <v>-3831051</v>
      </c>
      <c r="G37" s="3">
        <v>6168949</v>
      </c>
      <c r="H37" s="1" t="s">
        <v>0</v>
      </c>
      <c r="I37" s="1" t="s">
        <v>2</v>
      </c>
      <c r="J37" s="1" t="s">
        <v>76</v>
      </c>
      <c r="K37" s="2"/>
      <c r="L37" s="14">
        <v>47544018</v>
      </c>
      <c r="M37" t="s">
        <v>1281</v>
      </c>
      <c r="N37" s="12">
        <v>41754150</v>
      </c>
      <c r="O37" t="s">
        <v>1347</v>
      </c>
    </row>
    <row r="38" spans="1:19" x14ac:dyDescent="0.35">
      <c r="A38" s="1" t="s">
        <v>1190</v>
      </c>
      <c r="B38" s="1" t="s">
        <v>4</v>
      </c>
      <c r="C38" s="1" t="s">
        <v>1189</v>
      </c>
      <c r="D38" s="2">
        <v>42856</v>
      </c>
      <c r="E38" s="3">
        <v>50467767</v>
      </c>
      <c r="F38" s="3">
        <v>-19334453</v>
      </c>
      <c r="G38" s="3">
        <v>31133314</v>
      </c>
      <c r="H38" s="1" t="s">
        <v>0</v>
      </c>
      <c r="I38" s="1" t="s">
        <v>2</v>
      </c>
      <c r="J38" s="1" t="s">
        <v>76</v>
      </c>
      <c r="K38" s="2"/>
      <c r="L38" s="14">
        <v>47544018</v>
      </c>
      <c r="M38" t="s">
        <v>1281</v>
      </c>
      <c r="N38" s="12">
        <v>41754150</v>
      </c>
      <c r="O38" t="s">
        <v>1345</v>
      </c>
    </row>
    <row r="39" spans="1:19" x14ac:dyDescent="0.35">
      <c r="A39" s="23" t="s">
        <v>1188</v>
      </c>
      <c r="B39" s="1" t="s">
        <v>4</v>
      </c>
      <c r="C39" s="1" t="s">
        <v>1187</v>
      </c>
      <c r="D39" s="2">
        <v>42856</v>
      </c>
      <c r="E39" s="3">
        <v>378107500</v>
      </c>
      <c r="F39" s="3">
        <v>-289709765</v>
      </c>
      <c r="G39" s="3">
        <v>88397735</v>
      </c>
      <c r="H39" s="1" t="s">
        <v>0</v>
      </c>
      <c r="I39" s="1" t="s">
        <v>2</v>
      </c>
      <c r="J39" s="1" t="s">
        <v>76</v>
      </c>
      <c r="K39" s="2"/>
      <c r="L39" s="14">
        <v>47544017</v>
      </c>
      <c r="M39" t="s">
        <v>1283</v>
      </c>
      <c r="N39" s="12">
        <v>41754150</v>
      </c>
      <c r="O39" t="s">
        <v>1349</v>
      </c>
    </row>
    <row r="40" spans="1:19" hidden="1" x14ac:dyDescent="0.35">
      <c r="A40" s="1" t="s">
        <v>1186</v>
      </c>
      <c r="B40" s="1" t="s">
        <v>4</v>
      </c>
      <c r="C40" s="1" t="s">
        <v>1185</v>
      </c>
      <c r="D40" s="2">
        <v>42947</v>
      </c>
      <c r="E40" s="3">
        <v>1954775</v>
      </c>
      <c r="F40" s="3">
        <v>-1954775</v>
      </c>
      <c r="G40" s="3">
        <v>0</v>
      </c>
      <c r="H40" s="1" t="s">
        <v>0</v>
      </c>
      <c r="I40" s="1" t="s">
        <v>2</v>
      </c>
      <c r="J40" s="1" t="s">
        <v>56</v>
      </c>
      <c r="K40" s="2"/>
      <c r="L40" s="1">
        <v>47567015</v>
      </c>
      <c r="M40" t="s">
        <v>1272</v>
      </c>
      <c r="N40">
        <v>41756150</v>
      </c>
      <c r="O40" t="s">
        <v>1315</v>
      </c>
    </row>
    <row r="41" spans="1:19" x14ac:dyDescent="0.35">
      <c r="A41" s="1" t="s">
        <v>1184</v>
      </c>
      <c r="B41" s="1" t="s">
        <v>4</v>
      </c>
      <c r="C41" s="1" t="s">
        <v>1183</v>
      </c>
      <c r="D41" s="2">
        <v>43039</v>
      </c>
      <c r="E41" s="3">
        <v>57268898</v>
      </c>
      <c r="F41" s="3">
        <v>-42686904</v>
      </c>
      <c r="G41" s="3">
        <v>14581994</v>
      </c>
      <c r="H41" s="1" t="s">
        <v>0</v>
      </c>
      <c r="I41" s="1" t="s">
        <v>2</v>
      </c>
      <c r="J41" s="1" t="s">
        <v>76</v>
      </c>
      <c r="K41" s="2"/>
      <c r="L41" s="14">
        <v>47544021</v>
      </c>
      <c r="M41" t="s">
        <v>1282</v>
      </c>
      <c r="N41" s="12">
        <v>41754150</v>
      </c>
      <c r="O41" t="s">
        <v>1345</v>
      </c>
    </row>
    <row r="42" spans="1:19" hidden="1" x14ac:dyDescent="0.35">
      <c r="A42" s="1" t="s">
        <v>1182</v>
      </c>
      <c r="B42" s="1" t="s">
        <v>4</v>
      </c>
      <c r="C42" s="1" t="s">
        <v>1046</v>
      </c>
      <c r="D42" s="2">
        <v>43100</v>
      </c>
      <c r="E42" s="3">
        <v>3096933</v>
      </c>
      <c r="F42" s="3">
        <v>-3096933</v>
      </c>
      <c r="G42" s="3">
        <v>0</v>
      </c>
      <c r="H42" s="1" t="s">
        <v>0</v>
      </c>
      <c r="I42" s="1" t="s">
        <v>2</v>
      </c>
      <c r="J42" s="1" t="s">
        <v>56</v>
      </c>
      <c r="K42" s="2"/>
      <c r="L42" s="1">
        <v>47567015</v>
      </c>
      <c r="M42" t="s">
        <v>1272</v>
      </c>
      <c r="N42">
        <v>41756150</v>
      </c>
      <c r="O42" t="s">
        <v>1315</v>
      </c>
    </row>
    <row r="43" spans="1:19" x14ac:dyDescent="0.35">
      <c r="A43" s="1" t="s">
        <v>1180</v>
      </c>
      <c r="B43" s="1" t="s">
        <v>4</v>
      </c>
      <c r="C43" s="1" t="s">
        <v>1181</v>
      </c>
      <c r="D43" s="2">
        <v>43131</v>
      </c>
      <c r="E43" s="3">
        <v>22055175</v>
      </c>
      <c r="F43" s="3">
        <v>-9467212</v>
      </c>
      <c r="G43" s="3">
        <v>12587963</v>
      </c>
      <c r="H43" s="1" t="s">
        <v>0</v>
      </c>
      <c r="I43" s="1" t="s">
        <v>2</v>
      </c>
      <c r="J43" s="1" t="s">
        <v>76</v>
      </c>
      <c r="K43" s="2"/>
      <c r="L43" s="14">
        <v>47544032</v>
      </c>
      <c r="M43" t="s">
        <v>1277</v>
      </c>
      <c r="N43" s="12">
        <v>41754150</v>
      </c>
      <c r="O43" t="s">
        <v>1321</v>
      </c>
    </row>
    <row r="44" spans="1:19" x14ac:dyDescent="0.35">
      <c r="A44" s="1" t="s">
        <v>1180</v>
      </c>
      <c r="B44" s="1" t="s">
        <v>23</v>
      </c>
      <c r="C44" s="1" t="s">
        <v>1179</v>
      </c>
      <c r="D44" s="2">
        <v>44421</v>
      </c>
      <c r="E44" s="3">
        <v>11309000</v>
      </c>
      <c r="F44" s="3">
        <v>-5105722</v>
      </c>
      <c r="G44" s="3">
        <v>6203278</v>
      </c>
      <c r="H44" s="1" t="s">
        <v>0</v>
      </c>
      <c r="I44" s="1" t="s">
        <v>2</v>
      </c>
      <c r="J44" s="1" t="s">
        <v>76</v>
      </c>
      <c r="K44" s="2"/>
      <c r="L44" s="14">
        <v>47544032</v>
      </c>
      <c r="M44" t="s">
        <v>1277</v>
      </c>
      <c r="N44" s="12">
        <v>41754150</v>
      </c>
      <c r="O44" t="s">
        <v>1321</v>
      </c>
    </row>
    <row r="45" spans="1:19" hidden="1" x14ac:dyDescent="0.35">
      <c r="A45" s="1" t="s">
        <v>1178</v>
      </c>
      <c r="B45" s="1" t="s">
        <v>4</v>
      </c>
      <c r="C45" s="1" t="s">
        <v>1177</v>
      </c>
      <c r="D45" s="2">
        <v>43221</v>
      </c>
      <c r="E45" s="3">
        <v>4049386</v>
      </c>
      <c r="F45" s="3">
        <v>-4049386</v>
      </c>
      <c r="G45" s="3">
        <v>0</v>
      </c>
      <c r="H45" s="1" t="s">
        <v>0</v>
      </c>
      <c r="I45" s="1" t="s">
        <v>2</v>
      </c>
      <c r="J45" s="1" t="s">
        <v>355</v>
      </c>
      <c r="K45" s="2"/>
      <c r="L45" s="1">
        <v>47502031</v>
      </c>
      <c r="M45" t="s">
        <v>1279</v>
      </c>
      <c r="N45">
        <v>41750150</v>
      </c>
      <c r="O45" t="s">
        <v>1314</v>
      </c>
      <c r="Q45" t="s">
        <v>1332</v>
      </c>
      <c r="R45" t="s">
        <v>1328</v>
      </c>
    </row>
    <row r="46" spans="1:19" hidden="1" x14ac:dyDescent="0.35">
      <c r="A46" s="1" t="s">
        <v>1176</v>
      </c>
      <c r="B46" s="1" t="s">
        <v>4</v>
      </c>
      <c r="C46" s="1" t="s">
        <v>1175</v>
      </c>
      <c r="D46" s="2">
        <v>43224</v>
      </c>
      <c r="E46" s="3">
        <v>4000000</v>
      </c>
      <c r="F46" s="3">
        <v>-4000000</v>
      </c>
      <c r="G46" s="3">
        <v>0</v>
      </c>
      <c r="H46" s="1" t="s">
        <v>0</v>
      </c>
      <c r="I46" s="1" t="s">
        <v>2</v>
      </c>
      <c r="J46" s="1" t="s">
        <v>56</v>
      </c>
      <c r="K46" s="2"/>
      <c r="L46" s="1">
        <v>47567015</v>
      </c>
      <c r="M46" t="s">
        <v>1272</v>
      </c>
      <c r="N46">
        <v>41756150</v>
      </c>
      <c r="O46" t="s">
        <v>1315</v>
      </c>
    </row>
    <row r="47" spans="1:19" hidden="1" x14ac:dyDescent="0.35">
      <c r="A47" s="1" t="s">
        <v>1174</v>
      </c>
      <c r="B47" s="1" t="s">
        <v>4</v>
      </c>
      <c r="C47" s="1" t="s">
        <v>1173</v>
      </c>
      <c r="D47" s="2">
        <v>43224</v>
      </c>
      <c r="E47" s="3">
        <v>50581716</v>
      </c>
      <c r="F47" s="3">
        <v>-50581716</v>
      </c>
      <c r="G47" s="3">
        <v>0</v>
      </c>
      <c r="H47" s="1" t="s">
        <v>0</v>
      </c>
      <c r="I47" s="1" t="s">
        <v>2</v>
      </c>
      <c r="J47" s="1" t="s">
        <v>56</v>
      </c>
      <c r="K47" s="2"/>
      <c r="L47" s="1">
        <v>47567015</v>
      </c>
      <c r="M47" t="s">
        <v>1272</v>
      </c>
      <c r="N47">
        <v>41756150</v>
      </c>
      <c r="O47" t="s">
        <v>1315</v>
      </c>
    </row>
    <row r="48" spans="1:19" x14ac:dyDescent="0.35">
      <c r="A48" s="1" t="s">
        <v>1172</v>
      </c>
      <c r="B48" s="1" t="s">
        <v>4</v>
      </c>
      <c r="C48" s="1" t="s">
        <v>1171</v>
      </c>
      <c r="D48" s="2">
        <v>43252</v>
      </c>
      <c r="E48" s="3">
        <v>13958326</v>
      </c>
      <c r="F48" s="3">
        <v>-9938936</v>
      </c>
      <c r="G48" s="3">
        <v>4019390</v>
      </c>
      <c r="H48" s="1" t="s">
        <v>0</v>
      </c>
      <c r="I48" s="1" t="s">
        <v>2</v>
      </c>
      <c r="J48" s="1" t="s">
        <v>24</v>
      </c>
      <c r="K48" s="2"/>
      <c r="L48" s="14">
        <v>47544032</v>
      </c>
      <c r="M48" t="s">
        <v>1277</v>
      </c>
      <c r="N48" s="12">
        <v>41754150</v>
      </c>
      <c r="O48" t="s">
        <v>1321</v>
      </c>
    </row>
    <row r="49" spans="1:15" hidden="1" x14ac:dyDescent="0.35">
      <c r="A49" s="1" t="s">
        <v>1170</v>
      </c>
      <c r="B49" s="1" t="s">
        <v>4</v>
      </c>
      <c r="C49" s="1" t="s">
        <v>1169</v>
      </c>
      <c r="D49" s="2">
        <v>43256</v>
      </c>
      <c r="E49" s="3">
        <v>14023111</v>
      </c>
      <c r="F49" s="3">
        <v>-14023111</v>
      </c>
      <c r="G49" s="3">
        <v>0</v>
      </c>
      <c r="H49" s="1" t="s">
        <v>0</v>
      </c>
      <c r="I49" s="1" t="s">
        <v>2</v>
      </c>
      <c r="J49" s="1" t="s">
        <v>56</v>
      </c>
      <c r="K49" s="2"/>
      <c r="L49" s="1">
        <v>47567015</v>
      </c>
      <c r="M49" t="s">
        <v>1272</v>
      </c>
      <c r="N49">
        <v>41756150</v>
      </c>
      <c r="O49" t="s">
        <v>1315</v>
      </c>
    </row>
    <row r="50" spans="1:15" hidden="1" x14ac:dyDescent="0.35">
      <c r="A50" s="1" t="s">
        <v>1168</v>
      </c>
      <c r="B50" s="1" t="s">
        <v>4</v>
      </c>
      <c r="C50" s="1" t="s">
        <v>1167</v>
      </c>
      <c r="D50" s="2">
        <v>43276</v>
      </c>
      <c r="E50" s="3">
        <v>4049386</v>
      </c>
      <c r="F50" s="3">
        <v>-4049386</v>
      </c>
      <c r="G50" s="3">
        <v>0</v>
      </c>
      <c r="H50" s="1" t="s">
        <v>0</v>
      </c>
      <c r="I50" s="1" t="s">
        <v>2</v>
      </c>
      <c r="J50" s="1" t="s">
        <v>355</v>
      </c>
      <c r="K50" s="2"/>
      <c r="L50" s="1">
        <v>47502031</v>
      </c>
      <c r="M50" t="s">
        <v>1279</v>
      </c>
      <c r="N50">
        <v>41750150</v>
      </c>
      <c r="O50" t="s">
        <v>1314</v>
      </c>
    </row>
    <row r="51" spans="1:15" hidden="1" x14ac:dyDescent="0.35">
      <c r="A51" s="1" t="s">
        <v>1166</v>
      </c>
      <c r="B51" s="1" t="s">
        <v>4</v>
      </c>
      <c r="C51" s="1" t="s">
        <v>1165</v>
      </c>
      <c r="D51" s="2">
        <v>43313</v>
      </c>
      <c r="E51" s="3">
        <v>1600000</v>
      </c>
      <c r="F51" s="3">
        <v>-1600000</v>
      </c>
      <c r="G51" s="3">
        <v>0</v>
      </c>
      <c r="H51" s="1" t="s">
        <v>0</v>
      </c>
      <c r="I51" s="1" t="s">
        <v>2</v>
      </c>
      <c r="J51" s="1" t="s">
        <v>56</v>
      </c>
      <c r="K51" s="2"/>
      <c r="L51" s="1">
        <v>47567015</v>
      </c>
      <c r="M51" t="s">
        <v>1272</v>
      </c>
      <c r="N51">
        <v>41756150</v>
      </c>
      <c r="O51" t="s">
        <v>1315</v>
      </c>
    </row>
    <row r="52" spans="1:15" hidden="1" x14ac:dyDescent="0.35">
      <c r="A52" s="1" t="s">
        <v>1164</v>
      </c>
      <c r="B52" s="1" t="s">
        <v>4</v>
      </c>
      <c r="C52" s="1" t="s">
        <v>1163</v>
      </c>
      <c r="D52" s="2">
        <v>43313</v>
      </c>
      <c r="E52" s="3">
        <v>2800000</v>
      </c>
      <c r="F52" s="3">
        <v>-2800000</v>
      </c>
      <c r="G52" s="3">
        <v>0</v>
      </c>
      <c r="H52" s="1" t="s">
        <v>0</v>
      </c>
      <c r="I52" s="1" t="s">
        <v>2</v>
      </c>
      <c r="J52" s="1" t="s">
        <v>56</v>
      </c>
      <c r="K52" s="2"/>
      <c r="L52" s="1">
        <v>47567015</v>
      </c>
      <c r="M52" t="s">
        <v>1272</v>
      </c>
      <c r="N52">
        <v>41756150</v>
      </c>
      <c r="O52" t="s">
        <v>1315</v>
      </c>
    </row>
    <row r="53" spans="1:15" hidden="1" x14ac:dyDescent="0.35">
      <c r="A53" s="1" t="s">
        <v>1162</v>
      </c>
      <c r="B53" s="1" t="s">
        <v>4</v>
      </c>
      <c r="C53" s="1" t="s">
        <v>1046</v>
      </c>
      <c r="D53" s="2">
        <v>43321</v>
      </c>
      <c r="E53" s="3">
        <v>3022600</v>
      </c>
      <c r="F53" s="3">
        <v>-3022600</v>
      </c>
      <c r="G53" s="3">
        <v>0</v>
      </c>
      <c r="H53" s="1" t="s">
        <v>0</v>
      </c>
      <c r="I53" s="1" t="s">
        <v>2</v>
      </c>
      <c r="J53" s="1" t="s">
        <v>56</v>
      </c>
      <c r="K53" s="2"/>
      <c r="L53" s="1">
        <v>47567015</v>
      </c>
      <c r="M53" t="s">
        <v>1272</v>
      </c>
      <c r="N53">
        <v>41756150</v>
      </c>
      <c r="O53" t="s">
        <v>1315</v>
      </c>
    </row>
    <row r="54" spans="1:15" hidden="1" x14ac:dyDescent="0.35">
      <c r="A54" s="1" t="s">
        <v>1161</v>
      </c>
      <c r="B54" s="1" t="s">
        <v>4</v>
      </c>
      <c r="C54" s="1" t="s">
        <v>1160</v>
      </c>
      <c r="D54" s="2">
        <v>43325</v>
      </c>
      <c r="E54" s="3">
        <v>6574750</v>
      </c>
      <c r="F54" s="3">
        <v>-6574750</v>
      </c>
      <c r="G54" s="3">
        <v>0</v>
      </c>
      <c r="H54" s="1" t="s">
        <v>0</v>
      </c>
      <c r="I54" s="1" t="s">
        <v>2</v>
      </c>
      <c r="J54" s="1" t="s">
        <v>56</v>
      </c>
      <c r="K54" s="2"/>
      <c r="L54" s="1">
        <v>47567015</v>
      </c>
      <c r="M54" t="s">
        <v>1272</v>
      </c>
      <c r="N54">
        <v>41756150</v>
      </c>
      <c r="O54" t="s">
        <v>1315</v>
      </c>
    </row>
    <row r="55" spans="1:15" hidden="1" x14ac:dyDescent="0.35">
      <c r="A55" s="1" t="s">
        <v>1159</v>
      </c>
      <c r="B55" s="1" t="s">
        <v>4</v>
      </c>
      <c r="C55" s="1" t="s">
        <v>1158</v>
      </c>
      <c r="D55" s="2">
        <v>43405</v>
      </c>
      <c r="E55" s="3">
        <v>2590677</v>
      </c>
      <c r="F55" s="3">
        <v>-2590677</v>
      </c>
      <c r="G55" s="3">
        <v>0</v>
      </c>
      <c r="H55" s="1" t="s">
        <v>0</v>
      </c>
      <c r="I55" s="1" t="s">
        <v>2</v>
      </c>
      <c r="J55" s="1" t="s">
        <v>56</v>
      </c>
      <c r="K55" s="2"/>
      <c r="L55" s="1">
        <v>47567015</v>
      </c>
      <c r="M55" t="s">
        <v>1272</v>
      </c>
      <c r="N55">
        <v>41756150</v>
      </c>
      <c r="O55" t="s">
        <v>1315</v>
      </c>
    </row>
    <row r="56" spans="1:15" hidden="1" x14ac:dyDescent="0.35">
      <c r="A56" s="1" t="s">
        <v>1157</v>
      </c>
      <c r="B56" s="1" t="s">
        <v>4</v>
      </c>
      <c r="C56" s="1" t="s">
        <v>1156</v>
      </c>
      <c r="D56" s="2">
        <v>43405</v>
      </c>
      <c r="E56" s="3">
        <v>2590677</v>
      </c>
      <c r="F56" s="3">
        <v>-2590677</v>
      </c>
      <c r="G56" s="3">
        <v>0</v>
      </c>
      <c r="H56" s="1" t="s">
        <v>0</v>
      </c>
      <c r="I56" s="1" t="s">
        <v>2</v>
      </c>
      <c r="J56" s="1" t="s">
        <v>56</v>
      </c>
      <c r="K56" s="2"/>
      <c r="L56" s="1">
        <v>47567015</v>
      </c>
      <c r="M56" t="s">
        <v>1272</v>
      </c>
      <c r="N56">
        <v>41756150</v>
      </c>
      <c r="O56" t="s">
        <v>1315</v>
      </c>
    </row>
    <row r="57" spans="1:15" hidden="1" x14ac:dyDescent="0.35">
      <c r="A57" s="1" t="s">
        <v>1155</v>
      </c>
      <c r="B57" s="1" t="s">
        <v>4</v>
      </c>
      <c r="C57" s="1" t="s">
        <v>1046</v>
      </c>
      <c r="D57" s="2">
        <v>43405</v>
      </c>
      <c r="E57" s="3">
        <v>2725100</v>
      </c>
      <c r="F57" s="3">
        <v>-2725100</v>
      </c>
      <c r="G57" s="3">
        <v>0</v>
      </c>
      <c r="H57" s="1" t="s">
        <v>0</v>
      </c>
      <c r="I57" s="1" t="s">
        <v>2</v>
      </c>
      <c r="J57" s="1" t="s">
        <v>56</v>
      </c>
      <c r="K57" s="2"/>
      <c r="L57" s="1">
        <v>47567015</v>
      </c>
      <c r="M57" t="s">
        <v>1272</v>
      </c>
      <c r="N57">
        <v>41756150</v>
      </c>
      <c r="O57" t="s">
        <v>1315</v>
      </c>
    </row>
    <row r="58" spans="1:15" hidden="1" x14ac:dyDescent="0.35">
      <c r="A58" s="1" t="s">
        <v>1154</v>
      </c>
      <c r="B58" s="1" t="s">
        <v>4</v>
      </c>
      <c r="C58" s="1" t="s">
        <v>1153</v>
      </c>
      <c r="D58" s="2">
        <v>43405</v>
      </c>
      <c r="E58" s="3">
        <v>2891563</v>
      </c>
      <c r="F58" s="3">
        <v>-2891563</v>
      </c>
      <c r="G58" s="3">
        <v>0</v>
      </c>
      <c r="H58" s="1" t="s">
        <v>0</v>
      </c>
      <c r="I58" s="1" t="s">
        <v>2</v>
      </c>
      <c r="J58" s="1" t="s">
        <v>56</v>
      </c>
      <c r="K58" s="2"/>
      <c r="L58" s="1">
        <v>47567015</v>
      </c>
      <c r="M58" t="s">
        <v>1272</v>
      </c>
      <c r="N58">
        <v>41756150</v>
      </c>
      <c r="O58" t="s">
        <v>1315</v>
      </c>
    </row>
    <row r="59" spans="1:15" hidden="1" x14ac:dyDescent="0.35">
      <c r="A59" s="1" t="s">
        <v>1152</v>
      </c>
      <c r="B59" s="1" t="s">
        <v>4</v>
      </c>
      <c r="C59" s="1" t="s">
        <v>1046</v>
      </c>
      <c r="D59" s="2">
        <v>43405</v>
      </c>
      <c r="E59" s="3">
        <v>3012700</v>
      </c>
      <c r="F59" s="3">
        <v>-3012700</v>
      </c>
      <c r="G59" s="3">
        <v>0</v>
      </c>
      <c r="H59" s="1" t="s">
        <v>0</v>
      </c>
      <c r="I59" s="1" t="s">
        <v>2</v>
      </c>
      <c r="J59" s="1" t="s">
        <v>56</v>
      </c>
      <c r="K59" s="2"/>
      <c r="L59" s="1">
        <v>47567015</v>
      </c>
      <c r="M59" t="s">
        <v>1272</v>
      </c>
      <c r="N59">
        <v>41756150</v>
      </c>
      <c r="O59" t="s">
        <v>1315</v>
      </c>
    </row>
    <row r="60" spans="1:15" hidden="1" x14ac:dyDescent="0.35">
      <c r="A60" s="1" t="s">
        <v>1151</v>
      </c>
      <c r="B60" s="1" t="s">
        <v>4</v>
      </c>
      <c r="C60" s="1" t="s">
        <v>1150</v>
      </c>
      <c r="D60" s="2">
        <v>43405</v>
      </c>
      <c r="E60" s="3">
        <v>4694794</v>
      </c>
      <c r="F60" s="3">
        <v>-4694794</v>
      </c>
      <c r="G60" s="3">
        <v>0</v>
      </c>
      <c r="H60" s="1" t="s">
        <v>0</v>
      </c>
      <c r="I60" s="1" t="s">
        <v>2</v>
      </c>
      <c r="J60" s="1" t="s">
        <v>56</v>
      </c>
      <c r="K60" s="2"/>
      <c r="L60" s="1">
        <v>47567015</v>
      </c>
      <c r="M60" t="s">
        <v>1272</v>
      </c>
      <c r="N60">
        <v>41756150</v>
      </c>
      <c r="O60" t="s">
        <v>1315</v>
      </c>
    </row>
    <row r="61" spans="1:15" hidden="1" x14ac:dyDescent="0.35">
      <c r="A61" s="1" t="s">
        <v>1149</v>
      </c>
      <c r="B61" s="1" t="s">
        <v>4</v>
      </c>
      <c r="C61" s="1" t="s">
        <v>1148</v>
      </c>
      <c r="D61" s="2">
        <v>43437</v>
      </c>
      <c r="E61" s="3">
        <v>7838231</v>
      </c>
      <c r="F61" s="3">
        <v>-7838231</v>
      </c>
      <c r="G61" s="3">
        <v>0</v>
      </c>
      <c r="H61" s="1" t="s">
        <v>0</v>
      </c>
      <c r="I61" s="1" t="s">
        <v>2</v>
      </c>
      <c r="J61" s="1" t="s">
        <v>56</v>
      </c>
      <c r="K61" s="2"/>
      <c r="L61" s="1">
        <v>47567015</v>
      </c>
      <c r="M61" t="s">
        <v>1272</v>
      </c>
      <c r="N61">
        <v>41756150</v>
      </c>
      <c r="O61" t="s">
        <v>1315</v>
      </c>
    </row>
    <row r="62" spans="1:15" hidden="1" x14ac:dyDescent="0.35">
      <c r="A62" s="1" t="s">
        <v>1147</v>
      </c>
      <c r="B62" s="1" t="s">
        <v>4</v>
      </c>
      <c r="C62" s="1" t="s">
        <v>1146</v>
      </c>
      <c r="D62" s="2">
        <v>43465</v>
      </c>
      <c r="E62" s="3">
        <v>2551219</v>
      </c>
      <c r="F62" s="3">
        <v>-2551219</v>
      </c>
      <c r="G62" s="3">
        <v>0</v>
      </c>
      <c r="H62" s="1" t="s">
        <v>0</v>
      </c>
      <c r="I62" s="1" t="s">
        <v>2</v>
      </c>
      <c r="J62" s="1" t="s">
        <v>56</v>
      </c>
      <c r="K62" s="2"/>
      <c r="L62" s="1">
        <v>47567015</v>
      </c>
      <c r="M62" t="s">
        <v>1272</v>
      </c>
      <c r="N62">
        <v>41756150</v>
      </c>
      <c r="O62" t="s">
        <v>1315</v>
      </c>
    </row>
    <row r="63" spans="1:15" hidden="1" x14ac:dyDescent="0.35">
      <c r="A63" s="1" t="s">
        <v>1145</v>
      </c>
      <c r="B63" s="1" t="s">
        <v>4</v>
      </c>
      <c r="C63" s="1" t="s">
        <v>1144</v>
      </c>
      <c r="D63" s="2">
        <v>43465</v>
      </c>
      <c r="E63" s="3">
        <v>3435222</v>
      </c>
      <c r="F63" s="3">
        <v>-3435222</v>
      </c>
      <c r="G63" s="3">
        <v>0</v>
      </c>
      <c r="H63" s="1" t="s">
        <v>0</v>
      </c>
      <c r="I63" s="1" t="s">
        <v>2</v>
      </c>
      <c r="J63" s="1" t="s">
        <v>56</v>
      </c>
      <c r="K63" s="2"/>
      <c r="L63" s="1">
        <v>47567015</v>
      </c>
      <c r="M63" t="s">
        <v>1272</v>
      </c>
      <c r="N63">
        <v>41756150</v>
      </c>
      <c r="O63" t="s">
        <v>1315</v>
      </c>
    </row>
    <row r="64" spans="1:15" hidden="1" x14ac:dyDescent="0.35">
      <c r="A64" s="1" t="s">
        <v>1143</v>
      </c>
      <c r="B64" s="1" t="s">
        <v>4</v>
      </c>
      <c r="C64" s="1" t="s">
        <v>1142</v>
      </c>
      <c r="D64" s="2">
        <v>43465</v>
      </c>
      <c r="E64" s="3">
        <v>35248365</v>
      </c>
      <c r="F64" s="3">
        <v>-35248365</v>
      </c>
      <c r="G64" s="3">
        <v>0</v>
      </c>
      <c r="H64" s="1" t="s">
        <v>0</v>
      </c>
      <c r="I64" s="1" t="s">
        <v>2</v>
      </c>
      <c r="J64" s="1" t="s">
        <v>56</v>
      </c>
      <c r="K64" s="2"/>
      <c r="L64" s="1">
        <v>47567015</v>
      </c>
      <c r="M64" t="s">
        <v>1272</v>
      </c>
      <c r="N64">
        <v>41756150</v>
      </c>
      <c r="O64" t="s">
        <v>1315</v>
      </c>
    </row>
    <row r="65" spans="1:19" hidden="1" x14ac:dyDescent="0.35">
      <c r="A65" s="1" t="s">
        <v>1141</v>
      </c>
      <c r="B65" s="1" t="s">
        <v>4</v>
      </c>
      <c r="C65" s="1" t="s">
        <v>1140</v>
      </c>
      <c r="D65" s="2">
        <v>43466</v>
      </c>
      <c r="E65" s="3">
        <v>5800000</v>
      </c>
      <c r="F65" s="3">
        <v>-5800000</v>
      </c>
      <c r="G65" s="3">
        <v>0</v>
      </c>
      <c r="H65" s="1" t="s">
        <v>0</v>
      </c>
      <c r="I65" s="1" t="s">
        <v>2</v>
      </c>
      <c r="J65" s="1" t="s">
        <v>355</v>
      </c>
      <c r="K65" s="2"/>
      <c r="L65" s="1">
        <v>47567015</v>
      </c>
      <c r="M65" t="s">
        <v>1272</v>
      </c>
      <c r="N65">
        <v>41756150</v>
      </c>
      <c r="O65" t="s">
        <v>1315</v>
      </c>
    </row>
    <row r="66" spans="1:19" hidden="1" x14ac:dyDescent="0.35">
      <c r="A66" s="1" t="s">
        <v>1139</v>
      </c>
      <c r="B66" s="1" t="s">
        <v>4</v>
      </c>
      <c r="C66" s="1" t="s">
        <v>1138</v>
      </c>
      <c r="D66" s="2">
        <v>43524</v>
      </c>
      <c r="E66" s="3">
        <v>4506065</v>
      </c>
      <c r="F66" s="3">
        <v>-4506065</v>
      </c>
      <c r="G66" s="3">
        <v>0</v>
      </c>
      <c r="H66" s="1" t="s">
        <v>0</v>
      </c>
      <c r="I66" s="1" t="s">
        <v>2</v>
      </c>
      <c r="J66" s="1" t="s">
        <v>56</v>
      </c>
      <c r="K66" s="2"/>
      <c r="L66" s="1">
        <v>47567015</v>
      </c>
      <c r="M66" t="s">
        <v>1272</v>
      </c>
      <c r="N66">
        <v>41756150</v>
      </c>
      <c r="O66" t="s">
        <v>1315</v>
      </c>
    </row>
    <row r="67" spans="1:19" x14ac:dyDescent="0.35">
      <c r="A67" s="1" t="s">
        <v>1137</v>
      </c>
      <c r="B67" s="1" t="s">
        <v>4</v>
      </c>
      <c r="C67" s="1" t="s">
        <v>1136</v>
      </c>
      <c r="D67" s="2">
        <v>43556</v>
      </c>
      <c r="E67" s="3">
        <v>340000</v>
      </c>
      <c r="F67" s="3">
        <v>-340000</v>
      </c>
      <c r="G67" s="3">
        <v>0</v>
      </c>
      <c r="H67" s="1" t="s">
        <v>0</v>
      </c>
      <c r="I67" s="1" t="s">
        <v>2</v>
      </c>
      <c r="J67" s="1" t="s">
        <v>24</v>
      </c>
      <c r="K67" s="2"/>
      <c r="L67" s="14">
        <v>47544025</v>
      </c>
      <c r="M67" t="s">
        <v>1278</v>
      </c>
      <c r="N67" s="12">
        <v>41754150</v>
      </c>
      <c r="O67" t="s">
        <v>1338</v>
      </c>
    </row>
    <row r="68" spans="1:19" x14ac:dyDescent="0.35">
      <c r="A68" s="1" t="s">
        <v>1135</v>
      </c>
      <c r="B68" s="1" t="s">
        <v>4</v>
      </c>
      <c r="C68" s="1" t="s">
        <v>1134</v>
      </c>
      <c r="D68" s="2">
        <v>43556</v>
      </c>
      <c r="E68" s="3">
        <v>410000</v>
      </c>
      <c r="F68" s="3">
        <v>-410000</v>
      </c>
      <c r="G68" s="3">
        <v>0</v>
      </c>
      <c r="H68" s="1" t="s">
        <v>0</v>
      </c>
      <c r="I68" s="1" t="s">
        <v>2</v>
      </c>
      <c r="J68" s="1" t="s">
        <v>24</v>
      </c>
      <c r="K68" s="2"/>
      <c r="L68" s="14">
        <v>47544032</v>
      </c>
      <c r="M68" t="s">
        <v>1277</v>
      </c>
      <c r="N68" s="12">
        <v>41754150</v>
      </c>
      <c r="O68" t="s">
        <v>1321</v>
      </c>
    </row>
    <row r="69" spans="1:19" x14ac:dyDescent="0.35">
      <c r="A69" s="1" t="s">
        <v>1133</v>
      </c>
      <c r="B69" s="1" t="s">
        <v>4</v>
      </c>
      <c r="C69" s="1" t="s">
        <v>1132</v>
      </c>
      <c r="D69" s="2">
        <v>43556</v>
      </c>
      <c r="E69" s="3">
        <v>440000</v>
      </c>
      <c r="F69" s="3">
        <v>-440000</v>
      </c>
      <c r="G69" s="3">
        <v>0</v>
      </c>
      <c r="H69" s="1" t="s">
        <v>0</v>
      </c>
      <c r="I69" s="1" t="s">
        <v>2</v>
      </c>
      <c r="J69" s="1" t="s">
        <v>76</v>
      </c>
      <c r="K69" s="2"/>
      <c r="L69" s="14">
        <v>47544032</v>
      </c>
      <c r="M69" t="s">
        <v>1277</v>
      </c>
      <c r="N69" s="12">
        <v>41754150</v>
      </c>
      <c r="O69" t="s">
        <v>1321</v>
      </c>
    </row>
    <row r="70" spans="1:19" x14ac:dyDescent="0.35">
      <c r="A70" s="1" t="s">
        <v>1131</v>
      </c>
      <c r="B70" s="1" t="s">
        <v>4</v>
      </c>
      <c r="C70" s="1" t="s">
        <v>863</v>
      </c>
      <c r="D70" s="2">
        <v>43556</v>
      </c>
      <c r="E70" s="3">
        <v>1080000</v>
      </c>
      <c r="F70" s="3">
        <v>-1080000</v>
      </c>
      <c r="G70" s="3">
        <v>0</v>
      </c>
      <c r="H70" s="1" t="s">
        <v>0</v>
      </c>
      <c r="I70" s="1" t="s">
        <v>2</v>
      </c>
      <c r="J70" s="1" t="s">
        <v>76</v>
      </c>
      <c r="K70" s="2"/>
      <c r="L70" s="14">
        <v>47544032</v>
      </c>
      <c r="M70" t="s">
        <v>1277</v>
      </c>
      <c r="N70" s="12">
        <v>41754150</v>
      </c>
      <c r="O70" t="s">
        <v>1321</v>
      </c>
    </row>
    <row r="71" spans="1:19" x14ac:dyDescent="0.35">
      <c r="A71" s="1" t="s">
        <v>1130</v>
      </c>
      <c r="B71" s="1" t="s">
        <v>4</v>
      </c>
      <c r="C71" s="1" t="s">
        <v>1129</v>
      </c>
      <c r="D71" s="2">
        <v>43556</v>
      </c>
      <c r="E71" s="3">
        <v>1500000</v>
      </c>
      <c r="F71" s="3">
        <v>-1500000</v>
      </c>
      <c r="G71" s="3">
        <v>0</v>
      </c>
      <c r="H71" s="1" t="s">
        <v>0</v>
      </c>
      <c r="I71" s="1" t="s">
        <v>2</v>
      </c>
      <c r="J71" s="1" t="s">
        <v>24</v>
      </c>
      <c r="K71" s="2"/>
      <c r="L71" s="14">
        <v>47544032</v>
      </c>
      <c r="M71" t="s">
        <v>1277</v>
      </c>
      <c r="N71" s="12">
        <v>41754150</v>
      </c>
      <c r="O71" t="s">
        <v>1321</v>
      </c>
    </row>
    <row r="72" spans="1:19" x14ac:dyDescent="0.35">
      <c r="A72" s="1" t="s">
        <v>1128</v>
      </c>
      <c r="B72" s="1" t="s">
        <v>4</v>
      </c>
      <c r="C72" s="1" t="s">
        <v>1127</v>
      </c>
      <c r="D72" s="2">
        <v>43556</v>
      </c>
      <c r="E72" s="3">
        <v>2000000</v>
      </c>
      <c r="F72" s="3">
        <v>-1340753</v>
      </c>
      <c r="G72" s="3">
        <v>659247</v>
      </c>
      <c r="H72" s="1" t="s">
        <v>0</v>
      </c>
      <c r="I72" s="1" t="s">
        <v>2</v>
      </c>
      <c r="J72" s="1" t="s">
        <v>24</v>
      </c>
      <c r="K72" s="2"/>
      <c r="L72" s="20">
        <v>47544013</v>
      </c>
      <c r="M72" t="s">
        <v>1284</v>
      </c>
      <c r="N72" s="12">
        <v>41754150</v>
      </c>
      <c r="O72" t="s">
        <v>1359</v>
      </c>
      <c r="S72" t="s">
        <v>1358</v>
      </c>
    </row>
    <row r="73" spans="1:19" hidden="1" x14ac:dyDescent="0.35">
      <c r="A73" s="1" t="s">
        <v>1126</v>
      </c>
      <c r="B73" s="1" t="s">
        <v>4</v>
      </c>
      <c r="C73" s="1" t="s">
        <v>1125</v>
      </c>
      <c r="D73" s="2">
        <v>43556</v>
      </c>
      <c r="E73" s="3">
        <v>2743441</v>
      </c>
      <c r="F73" s="3">
        <v>-919570</v>
      </c>
      <c r="G73" s="3">
        <v>1823871</v>
      </c>
      <c r="H73" s="1" t="s">
        <v>0</v>
      </c>
      <c r="I73" s="1" t="s">
        <v>2</v>
      </c>
      <c r="J73" s="1" t="s">
        <v>76</v>
      </c>
      <c r="K73" s="2"/>
      <c r="L73" s="1">
        <v>47567015</v>
      </c>
      <c r="M73" t="s">
        <v>1272</v>
      </c>
      <c r="N73">
        <v>41756150</v>
      </c>
      <c r="O73" t="s">
        <v>1315</v>
      </c>
    </row>
    <row r="74" spans="1:19" x14ac:dyDescent="0.35">
      <c r="A74" s="1" t="s">
        <v>1124</v>
      </c>
      <c r="B74" s="1" t="s">
        <v>4</v>
      </c>
      <c r="C74" s="1" t="s">
        <v>1123</v>
      </c>
      <c r="D74" s="2">
        <v>43556</v>
      </c>
      <c r="E74" s="3">
        <v>2852000</v>
      </c>
      <c r="F74" s="3">
        <v>-2852000</v>
      </c>
      <c r="G74" s="3">
        <v>0</v>
      </c>
      <c r="H74" s="1" t="s">
        <v>0</v>
      </c>
      <c r="I74" s="1" t="s">
        <v>2</v>
      </c>
      <c r="J74" s="1" t="s">
        <v>76</v>
      </c>
      <c r="K74" s="2"/>
      <c r="L74" s="14">
        <v>47544032</v>
      </c>
      <c r="M74" t="s">
        <v>1277</v>
      </c>
      <c r="N74" s="12">
        <v>41754150</v>
      </c>
      <c r="O74" t="s">
        <v>1321</v>
      </c>
    </row>
    <row r="75" spans="1:19" x14ac:dyDescent="0.35">
      <c r="A75" s="1" t="s">
        <v>1122</v>
      </c>
      <c r="B75" s="1" t="s">
        <v>4</v>
      </c>
      <c r="C75" s="1" t="s">
        <v>1121</v>
      </c>
      <c r="D75" s="2">
        <v>43556</v>
      </c>
      <c r="E75" s="3">
        <v>3000000</v>
      </c>
      <c r="F75" s="3">
        <v>-3000000</v>
      </c>
      <c r="G75" s="3">
        <v>0</v>
      </c>
      <c r="H75" s="1" t="s">
        <v>0</v>
      </c>
      <c r="I75" s="1" t="s">
        <v>2</v>
      </c>
      <c r="J75" s="1" t="s">
        <v>76</v>
      </c>
      <c r="K75" s="2"/>
      <c r="L75" s="14">
        <v>47544032</v>
      </c>
      <c r="M75" t="s">
        <v>1277</v>
      </c>
      <c r="N75" s="12">
        <v>41754150</v>
      </c>
      <c r="O75" t="s">
        <v>1321</v>
      </c>
    </row>
    <row r="76" spans="1:19" x14ac:dyDescent="0.35">
      <c r="A76" s="1" t="s">
        <v>1120</v>
      </c>
      <c r="B76" s="1" t="s">
        <v>4</v>
      </c>
      <c r="C76" s="1" t="s">
        <v>1119</v>
      </c>
      <c r="D76" s="2">
        <v>43556</v>
      </c>
      <c r="E76" s="3">
        <v>4000000</v>
      </c>
      <c r="F76" s="3">
        <v>-4000000</v>
      </c>
      <c r="G76" s="3">
        <v>0</v>
      </c>
      <c r="H76" s="1" t="s">
        <v>0</v>
      </c>
      <c r="I76" s="1" t="s">
        <v>2</v>
      </c>
      <c r="J76" s="1" t="s">
        <v>24</v>
      </c>
      <c r="K76" s="2"/>
      <c r="L76" s="14">
        <v>47544032</v>
      </c>
      <c r="M76" t="s">
        <v>1277</v>
      </c>
      <c r="N76" s="12">
        <v>41754150</v>
      </c>
      <c r="O76" t="s">
        <v>1321</v>
      </c>
    </row>
    <row r="77" spans="1:19" x14ac:dyDescent="0.35">
      <c r="A77" s="1" t="s">
        <v>1118</v>
      </c>
      <c r="B77" s="1" t="s">
        <v>4</v>
      </c>
      <c r="C77" s="1" t="s">
        <v>1117</v>
      </c>
      <c r="D77" s="2">
        <v>43556</v>
      </c>
      <c r="E77" s="3">
        <v>5200000</v>
      </c>
      <c r="F77" s="3">
        <v>-3485959</v>
      </c>
      <c r="G77" s="3">
        <v>1714041</v>
      </c>
      <c r="H77" s="1" t="s">
        <v>0</v>
      </c>
      <c r="I77" s="1" t="s">
        <v>2</v>
      </c>
      <c r="J77" s="1" t="s">
        <v>24</v>
      </c>
      <c r="K77" s="2"/>
      <c r="L77" s="20">
        <v>47544013</v>
      </c>
      <c r="M77" t="s">
        <v>1284</v>
      </c>
      <c r="N77" s="12">
        <v>41754150</v>
      </c>
      <c r="O77" t="s">
        <v>1359</v>
      </c>
    </row>
    <row r="78" spans="1:19" x14ac:dyDescent="0.35">
      <c r="A78" s="1" t="s">
        <v>1116</v>
      </c>
      <c r="B78" s="1" t="s">
        <v>4</v>
      </c>
      <c r="C78" s="1" t="s">
        <v>1115</v>
      </c>
      <c r="D78" s="2">
        <v>43556</v>
      </c>
      <c r="E78" s="3">
        <v>5500000</v>
      </c>
      <c r="F78" s="3">
        <v>-5500000</v>
      </c>
      <c r="G78" s="3">
        <v>0</v>
      </c>
      <c r="H78" s="1" t="s">
        <v>0</v>
      </c>
      <c r="I78" s="1" t="s">
        <v>2</v>
      </c>
      <c r="J78" s="1" t="s">
        <v>76</v>
      </c>
      <c r="K78" s="2"/>
      <c r="L78" s="14">
        <v>47544032</v>
      </c>
      <c r="M78" t="s">
        <v>1277</v>
      </c>
      <c r="N78" s="12">
        <v>41754150</v>
      </c>
      <c r="O78" t="s">
        <v>1321</v>
      </c>
    </row>
    <row r="79" spans="1:19" x14ac:dyDescent="0.35">
      <c r="A79" s="1" t="s">
        <v>1114</v>
      </c>
      <c r="B79" s="1" t="s">
        <v>4</v>
      </c>
      <c r="C79" s="1" t="s">
        <v>1113</v>
      </c>
      <c r="D79" s="2">
        <v>43556</v>
      </c>
      <c r="E79" s="3">
        <v>5600000</v>
      </c>
      <c r="F79" s="3">
        <v>-3754110</v>
      </c>
      <c r="G79" s="3">
        <v>1845890</v>
      </c>
      <c r="H79" s="1" t="s">
        <v>0</v>
      </c>
      <c r="I79" s="1" t="s">
        <v>2</v>
      </c>
      <c r="J79" s="1" t="s">
        <v>24</v>
      </c>
      <c r="K79" s="2"/>
      <c r="L79" s="20">
        <v>47544013</v>
      </c>
      <c r="M79" t="s">
        <v>1284</v>
      </c>
      <c r="N79" s="12">
        <v>41754150</v>
      </c>
      <c r="O79" t="s">
        <v>1359</v>
      </c>
    </row>
    <row r="80" spans="1:19" x14ac:dyDescent="0.35">
      <c r="A80" s="1" t="s">
        <v>1112</v>
      </c>
      <c r="B80" s="1" t="s">
        <v>4</v>
      </c>
      <c r="C80" s="1" t="s">
        <v>1110</v>
      </c>
      <c r="D80" s="2">
        <v>43556</v>
      </c>
      <c r="E80" s="3">
        <v>6500000</v>
      </c>
      <c r="F80" s="3">
        <v>-4357449</v>
      </c>
      <c r="G80" s="3">
        <v>2142551</v>
      </c>
      <c r="H80" s="1" t="s">
        <v>0</v>
      </c>
      <c r="I80" s="1" t="s">
        <v>2</v>
      </c>
      <c r="J80" s="1" t="s">
        <v>24</v>
      </c>
      <c r="K80" s="2"/>
      <c r="L80" s="20">
        <v>47544013</v>
      </c>
      <c r="M80" t="s">
        <v>1284</v>
      </c>
      <c r="N80" s="12">
        <v>41754150</v>
      </c>
      <c r="O80" t="s">
        <v>1317</v>
      </c>
    </row>
    <row r="81" spans="1:15" x14ac:dyDescent="0.35">
      <c r="A81" s="1" t="s">
        <v>1111</v>
      </c>
      <c r="B81" s="1" t="s">
        <v>4</v>
      </c>
      <c r="C81" s="1" t="s">
        <v>1110</v>
      </c>
      <c r="D81" s="2">
        <v>43556</v>
      </c>
      <c r="E81" s="3">
        <v>6500000</v>
      </c>
      <c r="F81" s="3">
        <v>-4357449</v>
      </c>
      <c r="G81" s="3">
        <v>2142551</v>
      </c>
      <c r="H81" s="1" t="s">
        <v>0</v>
      </c>
      <c r="I81" s="1" t="s">
        <v>2</v>
      </c>
      <c r="J81" s="1" t="s">
        <v>24</v>
      </c>
      <c r="K81" s="2"/>
      <c r="L81" s="20">
        <v>47544013</v>
      </c>
      <c r="M81" t="s">
        <v>1284</v>
      </c>
      <c r="N81" s="12">
        <v>41754150</v>
      </c>
      <c r="O81" t="s">
        <v>1317</v>
      </c>
    </row>
    <row r="82" spans="1:15" x14ac:dyDescent="0.35">
      <c r="A82" s="1" t="s">
        <v>1109</v>
      </c>
      <c r="B82" s="1" t="s">
        <v>4</v>
      </c>
      <c r="C82" s="1" t="s">
        <v>1108</v>
      </c>
      <c r="D82" s="2">
        <v>43556</v>
      </c>
      <c r="E82" s="3">
        <v>6500000</v>
      </c>
      <c r="F82" s="3">
        <v>-4357449</v>
      </c>
      <c r="G82" s="3">
        <v>2142551</v>
      </c>
      <c r="H82" s="1" t="s">
        <v>0</v>
      </c>
      <c r="I82" s="1" t="s">
        <v>2</v>
      </c>
      <c r="J82" s="1" t="s">
        <v>24</v>
      </c>
      <c r="K82" s="2"/>
      <c r="L82" s="14">
        <v>47544013</v>
      </c>
      <c r="M82" t="s">
        <v>1284</v>
      </c>
      <c r="N82" s="12">
        <v>41754150</v>
      </c>
      <c r="O82" t="s">
        <v>1357</v>
      </c>
    </row>
    <row r="83" spans="1:15" x14ac:dyDescent="0.35">
      <c r="A83" s="1" t="s">
        <v>1107</v>
      </c>
      <c r="B83" s="1" t="s">
        <v>4</v>
      </c>
      <c r="C83" s="1" t="s">
        <v>1106</v>
      </c>
      <c r="D83" s="2">
        <v>43556</v>
      </c>
      <c r="E83" s="3">
        <v>13000000</v>
      </c>
      <c r="F83" s="3">
        <v>-8714897</v>
      </c>
      <c r="G83" s="3">
        <v>4285103</v>
      </c>
      <c r="H83" s="1" t="s">
        <v>0</v>
      </c>
      <c r="I83" s="1" t="s">
        <v>2</v>
      </c>
      <c r="J83" s="1" t="s">
        <v>24</v>
      </c>
      <c r="K83" s="2"/>
      <c r="L83" s="20">
        <v>47544013</v>
      </c>
      <c r="M83" t="s">
        <v>1284</v>
      </c>
      <c r="N83" s="12">
        <v>41754150</v>
      </c>
      <c r="O83" t="s">
        <v>1317</v>
      </c>
    </row>
    <row r="84" spans="1:15" x14ac:dyDescent="0.35">
      <c r="A84" s="1" t="s">
        <v>1105</v>
      </c>
      <c r="B84" s="1" t="s">
        <v>4</v>
      </c>
      <c r="C84" s="1" t="s">
        <v>1104</v>
      </c>
      <c r="D84" s="2">
        <v>43556</v>
      </c>
      <c r="E84" s="3">
        <v>94965262</v>
      </c>
      <c r="F84" s="3">
        <v>-31831250</v>
      </c>
      <c r="G84" s="3">
        <v>63134012</v>
      </c>
      <c r="H84" s="1" t="s">
        <v>0</v>
      </c>
      <c r="I84" s="1" t="s">
        <v>2</v>
      </c>
      <c r="J84" s="1" t="s">
        <v>76</v>
      </c>
      <c r="K84" s="2"/>
      <c r="L84" s="14">
        <v>47544011</v>
      </c>
      <c r="M84" t="s">
        <v>1276</v>
      </c>
      <c r="N84" s="12">
        <v>41754150</v>
      </c>
      <c r="O84" t="s">
        <v>1357</v>
      </c>
    </row>
    <row r="85" spans="1:15" x14ac:dyDescent="0.35">
      <c r="A85" s="1" t="s">
        <v>1103</v>
      </c>
      <c r="B85" s="1" t="s">
        <v>4</v>
      </c>
      <c r="C85" s="1" t="s">
        <v>1102</v>
      </c>
      <c r="D85" s="2">
        <v>43556</v>
      </c>
      <c r="E85" s="3">
        <v>124068653</v>
      </c>
      <c r="F85" s="3">
        <v>-41586370</v>
      </c>
      <c r="G85" s="3">
        <v>82482283</v>
      </c>
      <c r="H85" s="1" t="s">
        <v>0</v>
      </c>
      <c r="I85" s="1" t="s">
        <v>2</v>
      </c>
      <c r="J85" s="1" t="s">
        <v>76</v>
      </c>
      <c r="K85" s="2"/>
      <c r="L85" s="14">
        <v>47544011</v>
      </c>
      <c r="M85" t="s">
        <v>1276</v>
      </c>
      <c r="N85" s="12">
        <v>41754150</v>
      </c>
      <c r="O85" t="s">
        <v>1354</v>
      </c>
    </row>
    <row r="86" spans="1:15" x14ac:dyDescent="0.35">
      <c r="A86" s="1" t="s">
        <v>1101</v>
      </c>
      <c r="B86" s="1" t="s">
        <v>4</v>
      </c>
      <c r="C86" s="1" t="s">
        <v>1100</v>
      </c>
      <c r="D86" s="2">
        <v>43556</v>
      </c>
      <c r="E86" s="3">
        <v>135838990</v>
      </c>
      <c r="F86" s="3">
        <v>-45531651</v>
      </c>
      <c r="G86" s="3">
        <v>90307339</v>
      </c>
      <c r="H86" s="1" t="s">
        <v>0</v>
      </c>
      <c r="I86" s="1" t="s">
        <v>2</v>
      </c>
      <c r="J86" s="1" t="s">
        <v>76</v>
      </c>
      <c r="K86" s="2"/>
      <c r="L86" s="14">
        <v>47544011</v>
      </c>
      <c r="M86" t="s">
        <v>1276</v>
      </c>
      <c r="N86" s="12">
        <v>41754150</v>
      </c>
      <c r="O86" t="s">
        <v>1357</v>
      </c>
    </row>
    <row r="87" spans="1:15" x14ac:dyDescent="0.35">
      <c r="A87" s="1" t="s">
        <v>1098</v>
      </c>
      <c r="B87" s="1" t="s">
        <v>4</v>
      </c>
      <c r="C87" s="1" t="s">
        <v>1099</v>
      </c>
      <c r="D87" s="2">
        <v>43556</v>
      </c>
      <c r="E87" s="3">
        <v>535121579</v>
      </c>
      <c r="F87" s="3">
        <v>-358733045</v>
      </c>
      <c r="G87" s="3">
        <v>176388534</v>
      </c>
      <c r="H87" s="1" t="s">
        <v>0</v>
      </c>
      <c r="I87" s="1" t="s">
        <v>2</v>
      </c>
      <c r="J87" s="1" t="s">
        <v>76</v>
      </c>
      <c r="K87" s="2"/>
      <c r="L87" s="14">
        <v>47544025</v>
      </c>
      <c r="M87" t="s">
        <v>1278</v>
      </c>
      <c r="N87" s="12">
        <v>41754150</v>
      </c>
      <c r="O87" t="s">
        <v>1339</v>
      </c>
    </row>
    <row r="88" spans="1:15" x14ac:dyDescent="0.35">
      <c r="A88" s="1" t="s">
        <v>1098</v>
      </c>
      <c r="B88" s="1" t="s">
        <v>23</v>
      </c>
      <c r="C88" s="1" t="s">
        <v>1097</v>
      </c>
      <c r="D88" s="2">
        <v>44901</v>
      </c>
      <c r="E88" s="3">
        <v>3472620</v>
      </c>
      <c r="F88" s="3">
        <v>-1180690</v>
      </c>
      <c r="G88" s="3">
        <v>2291930</v>
      </c>
      <c r="H88" s="1" t="s">
        <v>0</v>
      </c>
      <c r="I88" s="1" t="s">
        <v>2</v>
      </c>
      <c r="J88" s="1" t="s">
        <v>76</v>
      </c>
      <c r="K88" s="2"/>
      <c r="L88" s="14">
        <v>47544025</v>
      </c>
      <c r="M88" t="s">
        <v>1278</v>
      </c>
      <c r="N88" s="12">
        <v>41754150</v>
      </c>
      <c r="O88" t="s">
        <v>1339</v>
      </c>
    </row>
    <row r="89" spans="1:15" hidden="1" x14ac:dyDescent="0.35">
      <c r="A89" s="1" t="s">
        <v>1096</v>
      </c>
      <c r="B89" s="1" t="s">
        <v>4</v>
      </c>
      <c r="C89" s="1" t="s">
        <v>1095</v>
      </c>
      <c r="D89" s="2">
        <v>43586</v>
      </c>
      <c r="E89" s="3">
        <v>4420000</v>
      </c>
      <c r="F89" s="3">
        <v>-4420000</v>
      </c>
      <c r="G89" s="3">
        <v>0</v>
      </c>
      <c r="H89" s="1" t="s">
        <v>0</v>
      </c>
      <c r="I89" s="1" t="s">
        <v>2</v>
      </c>
      <c r="J89" s="1" t="s">
        <v>56</v>
      </c>
      <c r="K89" s="2"/>
      <c r="L89" s="1">
        <v>47567015</v>
      </c>
      <c r="M89" t="s">
        <v>1272</v>
      </c>
      <c r="N89">
        <v>41756150</v>
      </c>
      <c r="O89" t="s">
        <v>1315</v>
      </c>
    </row>
    <row r="90" spans="1:15" hidden="1" x14ac:dyDescent="0.35">
      <c r="A90" s="1" t="s">
        <v>1094</v>
      </c>
      <c r="B90" s="1" t="s">
        <v>4</v>
      </c>
      <c r="C90" s="1" t="s">
        <v>1093</v>
      </c>
      <c r="D90" s="2">
        <v>43593</v>
      </c>
      <c r="E90" s="3">
        <v>2880000</v>
      </c>
      <c r="F90" s="3">
        <v>-2880000</v>
      </c>
      <c r="G90" s="3">
        <v>0</v>
      </c>
      <c r="H90" s="1" t="s">
        <v>0</v>
      </c>
      <c r="I90" s="1" t="s">
        <v>2</v>
      </c>
      <c r="J90" s="1" t="s">
        <v>355</v>
      </c>
      <c r="K90" s="2"/>
      <c r="L90" s="1">
        <v>47567015</v>
      </c>
      <c r="M90" t="s">
        <v>1272</v>
      </c>
      <c r="N90">
        <v>41756150</v>
      </c>
      <c r="O90" t="s">
        <v>1315</v>
      </c>
    </row>
    <row r="91" spans="1:15" x14ac:dyDescent="0.35">
      <c r="A91" s="1" t="s">
        <v>1092</v>
      </c>
      <c r="B91" s="1" t="s">
        <v>4</v>
      </c>
      <c r="C91" s="1" t="s">
        <v>1091</v>
      </c>
      <c r="D91" s="2">
        <v>43599</v>
      </c>
      <c r="E91" s="3">
        <v>2608487</v>
      </c>
      <c r="F91" s="3">
        <v>-2608487</v>
      </c>
      <c r="G91" s="3">
        <v>0</v>
      </c>
      <c r="H91" s="1" t="s">
        <v>0</v>
      </c>
      <c r="I91" s="1" t="s">
        <v>2</v>
      </c>
      <c r="J91" s="1" t="s">
        <v>76</v>
      </c>
      <c r="K91" s="2"/>
      <c r="L91" s="14">
        <v>47544013</v>
      </c>
      <c r="M91" t="s">
        <v>1284</v>
      </c>
      <c r="N91" s="12">
        <v>41754150</v>
      </c>
      <c r="O91" t="s">
        <v>1360</v>
      </c>
    </row>
    <row r="92" spans="1:15" hidden="1" x14ac:dyDescent="0.35">
      <c r="A92" s="1" t="s">
        <v>1090</v>
      </c>
      <c r="B92" s="1" t="s">
        <v>4</v>
      </c>
      <c r="C92" s="1" t="s">
        <v>1046</v>
      </c>
      <c r="D92" s="2">
        <v>43620</v>
      </c>
      <c r="E92" s="3">
        <v>2073690</v>
      </c>
      <c r="F92" s="3">
        <v>-2073690</v>
      </c>
      <c r="G92" s="3">
        <v>0</v>
      </c>
      <c r="H92" s="1" t="s">
        <v>0</v>
      </c>
      <c r="I92" s="1" t="s">
        <v>2</v>
      </c>
      <c r="J92" s="1" t="s">
        <v>56</v>
      </c>
      <c r="K92" s="2"/>
      <c r="L92" s="1">
        <v>47567015</v>
      </c>
      <c r="M92" t="s">
        <v>1272</v>
      </c>
      <c r="N92">
        <v>41756150</v>
      </c>
      <c r="O92" t="s">
        <v>1315</v>
      </c>
    </row>
    <row r="93" spans="1:15" hidden="1" x14ac:dyDescent="0.35">
      <c r="A93" s="1" t="s">
        <v>1089</v>
      </c>
      <c r="B93" s="1" t="s">
        <v>4</v>
      </c>
      <c r="C93" s="1" t="s">
        <v>1046</v>
      </c>
      <c r="D93" s="2">
        <v>43620</v>
      </c>
      <c r="E93" s="3">
        <v>2073690</v>
      </c>
      <c r="F93" s="3">
        <v>-2073690</v>
      </c>
      <c r="G93" s="3">
        <v>0</v>
      </c>
      <c r="H93" s="1" t="s">
        <v>0</v>
      </c>
      <c r="I93" s="1" t="s">
        <v>2</v>
      </c>
      <c r="J93" s="1" t="s">
        <v>56</v>
      </c>
      <c r="K93" s="2"/>
      <c r="L93" s="1">
        <v>47567015</v>
      </c>
      <c r="M93" t="s">
        <v>1272</v>
      </c>
      <c r="N93">
        <v>41756150</v>
      </c>
      <c r="O93" t="s">
        <v>1315</v>
      </c>
    </row>
    <row r="94" spans="1:15" hidden="1" x14ac:dyDescent="0.35">
      <c r="A94" s="1" t="s">
        <v>1088</v>
      </c>
      <c r="B94" s="1" t="s">
        <v>4</v>
      </c>
      <c r="C94" s="1" t="s">
        <v>1046</v>
      </c>
      <c r="D94" s="2">
        <v>43620</v>
      </c>
      <c r="E94" s="3">
        <v>2073690</v>
      </c>
      <c r="F94" s="3">
        <v>-2073690</v>
      </c>
      <c r="G94" s="3">
        <v>0</v>
      </c>
      <c r="H94" s="1" t="s">
        <v>0</v>
      </c>
      <c r="I94" s="1" t="s">
        <v>2</v>
      </c>
      <c r="J94" s="1" t="s">
        <v>56</v>
      </c>
      <c r="K94" s="2"/>
      <c r="L94" s="1">
        <v>47567015</v>
      </c>
      <c r="M94" t="s">
        <v>1272</v>
      </c>
      <c r="N94">
        <v>41756150</v>
      </c>
      <c r="O94" t="s">
        <v>1315</v>
      </c>
    </row>
    <row r="95" spans="1:15" hidden="1" x14ac:dyDescent="0.35">
      <c r="A95" s="1" t="s">
        <v>1087</v>
      </c>
      <c r="B95" s="1" t="s">
        <v>4</v>
      </c>
      <c r="C95" s="1" t="s">
        <v>1046</v>
      </c>
      <c r="D95" s="2">
        <v>43620</v>
      </c>
      <c r="E95" s="3">
        <v>2073690</v>
      </c>
      <c r="F95" s="3">
        <v>-2073690</v>
      </c>
      <c r="G95" s="3">
        <v>0</v>
      </c>
      <c r="H95" s="1" t="s">
        <v>0</v>
      </c>
      <c r="I95" s="1" t="s">
        <v>2</v>
      </c>
      <c r="J95" s="1" t="s">
        <v>56</v>
      </c>
      <c r="K95" s="2"/>
      <c r="L95" s="1">
        <v>47567015</v>
      </c>
      <c r="M95" t="s">
        <v>1272</v>
      </c>
      <c r="N95">
        <v>41756150</v>
      </c>
      <c r="O95" t="s">
        <v>1315</v>
      </c>
    </row>
    <row r="96" spans="1:15" hidden="1" x14ac:dyDescent="0.35">
      <c r="A96" s="1" t="s">
        <v>1086</v>
      </c>
      <c r="B96" s="1" t="s">
        <v>4</v>
      </c>
      <c r="C96" s="1" t="s">
        <v>1046</v>
      </c>
      <c r="D96" s="2">
        <v>43620</v>
      </c>
      <c r="E96" s="3">
        <v>2100000</v>
      </c>
      <c r="F96" s="3">
        <v>-2100000</v>
      </c>
      <c r="G96" s="3">
        <v>0</v>
      </c>
      <c r="H96" s="1" t="s">
        <v>0</v>
      </c>
      <c r="I96" s="1" t="s">
        <v>2</v>
      </c>
      <c r="J96" s="1" t="s">
        <v>56</v>
      </c>
      <c r="K96" s="2"/>
      <c r="L96" s="1">
        <v>47567015</v>
      </c>
      <c r="M96" t="s">
        <v>1272</v>
      </c>
      <c r="N96">
        <v>41756150</v>
      </c>
      <c r="O96" t="s">
        <v>1315</v>
      </c>
    </row>
    <row r="97" spans="1:15" hidden="1" x14ac:dyDescent="0.35">
      <c r="A97" s="1" t="s">
        <v>1085</v>
      </c>
      <c r="B97" s="1" t="s">
        <v>4</v>
      </c>
      <c r="C97" s="1" t="s">
        <v>1046</v>
      </c>
      <c r="D97" s="2">
        <v>43647</v>
      </c>
      <c r="E97" s="3">
        <v>2594716</v>
      </c>
      <c r="F97" s="3">
        <v>-2594716</v>
      </c>
      <c r="G97" s="3">
        <v>0</v>
      </c>
      <c r="H97" s="1" t="s">
        <v>0</v>
      </c>
      <c r="I97" s="1" t="s">
        <v>2</v>
      </c>
      <c r="J97" s="1" t="s">
        <v>56</v>
      </c>
      <c r="K97" s="2"/>
      <c r="L97" s="1">
        <v>47567015</v>
      </c>
      <c r="M97" t="s">
        <v>1272</v>
      </c>
      <c r="N97">
        <v>41756150</v>
      </c>
      <c r="O97" t="s">
        <v>1315</v>
      </c>
    </row>
    <row r="98" spans="1:15" hidden="1" x14ac:dyDescent="0.35">
      <c r="A98" s="1" t="s">
        <v>1084</v>
      </c>
      <c r="B98" s="1" t="s">
        <v>4</v>
      </c>
      <c r="C98" s="1" t="s">
        <v>1083</v>
      </c>
      <c r="D98" s="2">
        <v>43664</v>
      </c>
      <c r="E98" s="3">
        <v>3555000</v>
      </c>
      <c r="F98" s="3">
        <v>-3555000</v>
      </c>
      <c r="G98" s="3">
        <v>0</v>
      </c>
      <c r="H98" s="1" t="s">
        <v>0</v>
      </c>
      <c r="I98" s="1" t="s">
        <v>2</v>
      </c>
      <c r="J98" s="1" t="s">
        <v>56</v>
      </c>
      <c r="K98" s="2"/>
      <c r="L98" s="1">
        <v>47567015</v>
      </c>
      <c r="M98" t="s">
        <v>1272</v>
      </c>
      <c r="N98">
        <v>41756150</v>
      </c>
      <c r="O98" t="s">
        <v>1315</v>
      </c>
    </row>
    <row r="99" spans="1:15" hidden="1" x14ac:dyDescent="0.35">
      <c r="A99" s="1" t="s">
        <v>1082</v>
      </c>
      <c r="B99" s="1" t="s">
        <v>4</v>
      </c>
      <c r="C99" s="1" t="s">
        <v>1081</v>
      </c>
      <c r="D99" s="2">
        <v>43664</v>
      </c>
      <c r="E99" s="3">
        <v>3555000</v>
      </c>
      <c r="F99" s="3">
        <v>-3555000</v>
      </c>
      <c r="G99" s="3">
        <v>0</v>
      </c>
      <c r="H99" s="1" t="s">
        <v>0</v>
      </c>
      <c r="I99" s="1" t="s">
        <v>2</v>
      </c>
      <c r="J99" s="1" t="s">
        <v>56</v>
      </c>
      <c r="K99" s="2"/>
      <c r="L99" s="1">
        <v>47567015</v>
      </c>
      <c r="M99" t="s">
        <v>1272</v>
      </c>
      <c r="N99">
        <v>41756150</v>
      </c>
      <c r="O99" t="s">
        <v>1315</v>
      </c>
    </row>
    <row r="100" spans="1:15" hidden="1" x14ac:dyDescent="0.35">
      <c r="A100" s="1" t="s">
        <v>1080</v>
      </c>
      <c r="B100" s="1" t="s">
        <v>4</v>
      </c>
      <c r="C100" s="1" t="s">
        <v>1079</v>
      </c>
      <c r="D100" s="2">
        <v>43668</v>
      </c>
      <c r="E100" s="3">
        <v>3991597</v>
      </c>
      <c r="F100" s="3">
        <v>-3991597</v>
      </c>
      <c r="G100" s="3">
        <v>0</v>
      </c>
      <c r="H100" s="1" t="s">
        <v>0</v>
      </c>
      <c r="I100" s="1" t="s">
        <v>2</v>
      </c>
      <c r="J100" s="1" t="s">
        <v>56</v>
      </c>
      <c r="K100" s="2"/>
      <c r="L100" s="1">
        <v>47567015</v>
      </c>
      <c r="M100" t="s">
        <v>1272</v>
      </c>
      <c r="N100">
        <v>41756150</v>
      </c>
      <c r="O100" t="s">
        <v>1315</v>
      </c>
    </row>
    <row r="101" spans="1:15" hidden="1" x14ac:dyDescent="0.35">
      <c r="A101" s="1" t="s">
        <v>1078</v>
      </c>
      <c r="B101" s="1" t="s">
        <v>4</v>
      </c>
      <c r="C101" s="1" t="s">
        <v>1077</v>
      </c>
      <c r="D101" s="2">
        <v>43678</v>
      </c>
      <c r="E101" s="3">
        <v>505882</v>
      </c>
      <c r="F101" s="3">
        <v>-505882</v>
      </c>
      <c r="G101" s="3">
        <v>0</v>
      </c>
      <c r="H101" s="1" t="s">
        <v>0</v>
      </c>
      <c r="I101" s="1" t="s">
        <v>2</v>
      </c>
      <c r="J101" s="1" t="s">
        <v>56</v>
      </c>
      <c r="K101" s="2"/>
      <c r="L101" s="1">
        <v>47567015</v>
      </c>
      <c r="M101" t="s">
        <v>1272</v>
      </c>
      <c r="N101">
        <v>41756150</v>
      </c>
      <c r="O101" t="s">
        <v>1315</v>
      </c>
    </row>
    <row r="102" spans="1:15" hidden="1" x14ac:dyDescent="0.35">
      <c r="A102" s="1" t="s">
        <v>1076</v>
      </c>
      <c r="B102" s="1" t="s">
        <v>4</v>
      </c>
      <c r="C102" s="1" t="s">
        <v>1075</v>
      </c>
      <c r="D102" s="2">
        <v>43678</v>
      </c>
      <c r="E102" s="3">
        <v>2499510</v>
      </c>
      <c r="F102" s="3">
        <v>-2499510</v>
      </c>
      <c r="G102" s="3">
        <v>0</v>
      </c>
      <c r="H102" s="1" t="s">
        <v>0</v>
      </c>
      <c r="I102" s="1" t="s">
        <v>2</v>
      </c>
      <c r="J102" s="1" t="s">
        <v>56</v>
      </c>
      <c r="K102" s="2"/>
      <c r="L102" s="1">
        <v>47567015</v>
      </c>
      <c r="M102" t="s">
        <v>1272</v>
      </c>
      <c r="N102">
        <v>41756150</v>
      </c>
      <c r="O102" t="s">
        <v>1315</v>
      </c>
    </row>
    <row r="103" spans="1:15" hidden="1" x14ac:dyDescent="0.35">
      <c r="A103" s="1" t="s">
        <v>1074</v>
      </c>
      <c r="B103" s="1" t="s">
        <v>4</v>
      </c>
      <c r="C103" s="1" t="s">
        <v>1073</v>
      </c>
      <c r="D103" s="2">
        <v>43678</v>
      </c>
      <c r="E103" s="3">
        <v>5377570</v>
      </c>
      <c r="F103" s="3">
        <v>-5377570</v>
      </c>
      <c r="G103" s="3">
        <v>0</v>
      </c>
      <c r="H103" s="1" t="s">
        <v>0</v>
      </c>
      <c r="I103" s="1" t="s">
        <v>2</v>
      </c>
      <c r="J103" s="1" t="s">
        <v>56</v>
      </c>
      <c r="K103" s="2"/>
      <c r="L103" s="1">
        <v>47567015</v>
      </c>
      <c r="M103" t="s">
        <v>1272</v>
      </c>
      <c r="N103">
        <v>41756150</v>
      </c>
      <c r="O103" t="s">
        <v>1315</v>
      </c>
    </row>
    <row r="104" spans="1:15" hidden="1" x14ac:dyDescent="0.35">
      <c r="A104" s="1" t="s">
        <v>1072</v>
      </c>
      <c r="B104" s="1" t="s">
        <v>4</v>
      </c>
      <c r="C104" s="1" t="s">
        <v>1071</v>
      </c>
      <c r="D104" s="2">
        <v>43678</v>
      </c>
      <c r="E104" s="3">
        <v>5377570</v>
      </c>
      <c r="F104" s="3">
        <v>-5377570</v>
      </c>
      <c r="G104" s="3">
        <v>0</v>
      </c>
      <c r="H104" s="1" t="s">
        <v>0</v>
      </c>
      <c r="I104" s="1" t="s">
        <v>2</v>
      </c>
      <c r="J104" s="1" t="s">
        <v>56</v>
      </c>
      <c r="K104" s="2"/>
      <c r="L104" s="1">
        <v>47567015</v>
      </c>
      <c r="M104" t="s">
        <v>1272</v>
      </c>
      <c r="N104">
        <v>41756150</v>
      </c>
      <c r="O104" t="s">
        <v>1315</v>
      </c>
    </row>
    <row r="105" spans="1:15" hidden="1" x14ac:dyDescent="0.35">
      <c r="A105" s="1" t="s">
        <v>1070</v>
      </c>
      <c r="B105" s="1" t="s">
        <v>4</v>
      </c>
      <c r="C105" s="1" t="s">
        <v>1068</v>
      </c>
      <c r="D105" s="2">
        <v>43678</v>
      </c>
      <c r="E105" s="3">
        <v>5377570</v>
      </c>
      <c r="F105" s="3">
        <v>-5377570</v>
      </c>
      <c r="G105" s="3">
        <v>0</v>
      </c>
      <c r="H105" s="1" t="s">
        <v>0</v>
      </c>
      <c r="I105" s="1" t="s">
        <v>2</v>
      </c>
      <c r="J105" s="1" t="s">
        <v>56</v>
      </c>
      <c r="K105" s="2"/>
      <c r="L105" s="1">
        <v>47567015</v>
      </c>
      <c r="M105" t="s">
        <v>1272</v>
      </c>
      <c r="N105">
        <v>41756150</v>
      </c>
      <c r="O105" t="s">
        <v>1315</v>
      </c>
    </row>
    <row r="106" spans="1:15" hidden="1" x14ac:dyDescent="0.35">
      <c r="A106" s="1" t="s">
        <v>1069</v>
      </c>
      <c r="B106" s="1" t="s">
        <v>4</v>
      </c>
      <c r="C106" s="1" t="s">
        <v>1068</v>
      </c>
      <c r="D106" s="2">
        <v>43678</v>
      </c>
      <c r="E106" s="3">
        <v>5377570</v>
      </c>
      <c r="F106" s="3">
        <v>-5377570</v>
      </c>
      <c r="G106" s="3">
        <v>0</v>
      </c>
      <c r="H106" s="1" t="s">
        <v>0</v>
      </c>
      <c r="I106" s="1" t="s">
        <v>2</v>
      </c>
      <c r="J106" s="1" t="s">
        <v>56</v>
      </c>
      <c r="K106" s="2"/>
      <c r="L106" s="1">
        <v>47567015</v>
      </c>
      <c r="M106" t="s">
        <v>1272</v>
      </c>
      <c r="N106">
        <v>41756150</v>
      </c>
      <c r="O106" t="s">
        <v>1315</v>
      </c>
    </row>
    <row r="107" spans="1:15" hidden="1" x14ac:dyDescent="0.35">
      <c r="A107" s="1" t="s">
        <v>1067</v>
      </c>
      <c r="B107" s="1" t="s">
        <v>4</v>
      </c>
      <c r="C107" s="1" t="s">
        <v>1066</v>
      </c>
      <c r="D107" s="2">
        <v>43678</v>
      </c>
      <c r="E107" s="3">
        <v>5420129</v>
      </c>
      <c r="F107" s="3">
        <v>-5420129</v>
      </c>
      <c r="G107" s="3">
        <v>0</v>
      </c>
      <c r="H107" s="1" t="s">
        <v>0</v>
      </c>
      <c r="I107" s="1" t="s">
        <v>2</v>
      </c>
      <c r="J107" s="1" t="s">
        <v>56</v>
      </c>
      <c r="K107" s="2"/>
      <c r="L107" s="1">
        <v>47567015</v>
      </c>
      <c r="M107" t="s">
        <v>1272</v>
      </c>
      <c r="N107">
        <v>41756150</v>
      </c>
      <c r="O107" t="s">
        <v>1315</v>
      </c>
    </row>
    <row r="108" spans="1:15" hidden="1" x14ac:dyDescent="0.35">
      <c r="A108" s="1" t="s">
        <v>1065</v>
      </c>
      <c r="B108" s="1" t="s">
        <v>4</v>
      </c>
      <c r="C108" s="1" t="s">
        <v>1064</v>
      </c>
      <c r="D108" s="2">
        <v>43678</v>
      </c>
      <c r="E108" s="3">
        <v>5420129</v>
      </c>
      <c r="F108" s="3">
        <v>-5420129</v>
      </c>
      <c r="G108" s="3">
        <v>0</v>
      </c>
      <c r="H108" s="1" t="s">
        <v>0</v>
      </c>
      <c r="I108" s="1" t="s">
        <v>2</v>
      </c>
      <c r="J108" s="1" t="s">
        <v>56</v>
      </c>
      <c r="K108" s="2"/>
      <c r="L108" s="1">
        <v>47567015</v>
      </c>
      <c r="M108" t="s">
        <v>1272</v>
      </c>
      <c r="N108">
        <v>41756150</v>
      </c>
      <c r="O108" t="s">
        <v>1315</v>
      </c>
    </row>
    <row r="109" spans="1:15" hidden="1" x14ac:dyDescent="0.35">
      <c r="A109" s="1" t="s">
        <v>1063</v>
      </c>
      <c r="B109" s="1" t="s">
        <v>4</v>
      </c>
      <c r="C109" s="1" t="s">
        <v>1060</v>
      </c>
      <c r="D109" s="2">
        <v>43678</v>
      </c>
      <c r="E109" s="3">
        <v>10497382</v>
      </c>
      <c r="F109" s="3">
        <v>-10497382</v>
      </c>
      <c r="G109" s="3">
        <v>0</v>
      </c>
      <c r="H109" s="1" t="s">
        <v>0</v>
      </c>
      <c r="I109" s="1" t="s">
        <v>2</v>
      </c>
      <c r="J109" s="1" t="s">
        <v>56</v>
      </c>
      <c r="K109" s="2"/>
      <c r="L109" s="1">
        <v>47567015</v>
      </c>
      <c r="M109" t="s">
        <v>1272</v>
      </c>
      <c r="N109">
        <v>41756150</v>
      </c>
      <c r="O109" t="s">
        <v>1315</v>
      </c>
    </row>
    <row r="110" spans="1:15" hidden="1" x14ac:dyDescent="0.35">
      <c r="A110" s="1" t="s">
        <v>1062</v>
      </c>
      <c r="B110" s="1" t="s">
        <v>4</v>
      </c>
      <c r="C110" s="1" t="s">
        <v>1060</v>
      </c>
      <c r="D110" s="2">
        <v>43678</v>
      </c>
      <c r="E110" s="3">
        <v>10497382</v>
      </c>
      <c r="F110" s="3">
        <v>-10497382</v>
      </c>
      <c r="G110" s="3">
        <v>0</v>
      </c>
      <c r="H110" s="1" t="s">
        <v>0</v>
      </c>
      <c r="I110" s="1" t="s">
        <v>2</v>
      </c>
      <c r="J110" s="1" t="s">
        <v>56</v>
      </c>
      <c r="K110" s="2"/>
      <c r="L110" s="1">
        <v>47567015</v>
      </c>
      <c r="M110" t="s">
        <v>1272</v>
      </c>
      <c r="N110">
        <v>41756150</v>
      </c>
      <c r="O110" t="s">
        <v>1315</v>
      </c>
    </row>
    <row r="111" spans="1:15" hidden="1" x14ac:dyDescent="0.35">
      <c r="A111" s="1" t="s">
        <v>1061</v>
      </c>
      <c r="B111" s="1" t="s">
        <v>4</v>
      </c>
      <c r="C111" s="1" t="s">
        <v>1060</v>
      </c>
      <c r="D111" s="2">
        <v>43678</v>
      </c>
      <c r="E111" s="3">
        <v>10497382</v>
      </c>
      <c r="F111" s="3">
        <v>-10497382</v>
      </c>
      <c r="G111" s="3">
        <v>0</v>
      </c>
      <c r="H111" s="1" t="s">
        <v>0</v>
      </c>
      <c r="I111" s="1" t="s">
        <v>2</v>
      </c>
      <c r="J111" s="1" t="s">
        <v>56</v>
      </c>
      <c r="K111" s="2"/>
      <c r="L111" s="1">
        <v>47567015</v>
      </c>
      <c r="M111" t="s">
        <v>1272</v>
      </c>
      <c r="N111">
        <v>41756150</v>
      </c>
      <c r="O111" t="s">
        <v>1315</v>
      </c>
    </row>
    <row r="112" spans="1:15" hidden="1" x14ac:dyDescent="0.35">
      <c r="A112" s="1" t="s">
        <v>1059</v>
      </c>
      <c r="B112" s="1" t="s">
        <v>4</v>
      </c>
      <c r="C112" s="1" t="s">
        <v>1058</v>
      </c>
      <c r="D112" s="2">
        <v>43678</v>
      </c>
      <c r="E112" s="3">
        <v>10680615</v>
      </c>
      <c r="F112" s="3">
        <v>-10680615</v>
      </c>
      <c r="G112" s="3">
        <v>0</v>
      </c>
      <c r="H112" s="1" t="s">
        <v>0</v>
      </c>
      <c r="I112" s="1" t="s">
        <v>2</v>
      </c>
      <c r="J112" s="1" t="s">
        <v>56</v>
      </c>
      <c r="K112" s="2"/>
      <c r="L112" s="1">
        <v>47567015</v>
      </c>
      <c r="M112" t="s">
        <v>1272</v>
      </c>
      <c r="N112">
        <v>41756150</v>
      </c>
      <c r="O112" t="s">
        <v>1315</v>
      </c>
    </row>
    <row r="113" spans="1:15" hidden="1" x14ac:dyDescent="0.35">
      <c r="A113" s="1" t="s">
        <v>1057</v>
      </c>
      <c r="B113" s="1" t="s">
        <v>4</v>
      </c>
      <c r="C113" s="1" t="s">
        <v>1056</v>
      </c>
      <c r="D113" s="2">
        <v>43678</v>
      </c>
      <c r="E113" s="3">
        <v>16132710</v>
      </c>
      <c r="F113" s="3">
        <v>-16132710</v>
      </c>
      <c r="G113" s="3">
        <v>0</v>
      </c>
      <c r="H113" s="1" t="s">
        <v>0</v>
      </c>
      <c r="I113" s="1" t="s">
        <v>2</v>
      </c>
      <c r="J113" s="1" t="s">
        <v>56</v>
      </c>
      <c r="K113" s="2"/>
      <c r="L113" s="1">
        <v>47567015</v>
      </c>
      <c r="M113" t="s">
        <v>1272</v>
      </c>
      <c r="N113">
        <v>41756150</v>
      </c>
      <c r="O113" t="s">
        <v>1315</v>
      </c>
    </row>
    <row r="114" spans="1:15" hidden="1" x14ac:dyDescent="0.35">
      <c r="A114" s="1" t="s">
        <v>1055</v>
      </c>
      <c r="B114" s="1" t="s">
        <v>4</v>
      </c>
      <c r="C114" s="1" t="s">
        <v>1054</v>
      </c>
      <c r="D114" s="2">
        <v>43678</v>
      </c>
      <c r="E114" s="3">
        <v>19332946</v>
      </c>
      <c r="F114" s="3">
        <v>-19332946</v>
      </c>
      <c r="G114" s="3">
        <v>0</v>
      </c>
      <c r="H114" s="1" t="s">
        <v>0</v>
      </c>
      <c r="I114" s="1" t="s">
        <v>2</v>
      </c>
      <c r="J114" s="1" t="s">
        <v>56</v>
      </c>
      <c r="K114" s="2"/>
      <c r="L114" s="1">
        <v>47567015</v>
      </c>
      <c r="M114" t="s">
        <v>1272</v>
      </c>
      <c r="N114">
        <v>41756150</v>
      </c>
      <c r="O114" t="s">
        <v>1315</v>
      </c>
    </row>
    <row r="115" spans="1:15" hidden="1" x14ac:dyDescent="0.35">
      <c r="A115" s="1" t="s">
        <v>1053</v>
      </c>
      <c r="B115" s="1" t="s">
        <v>4</v>
      </c>
      <c r="C115" s="1" t="s">
        <v>1052</v>
      </c>
      <c r="D115" s="2">
        <v>43738</v>
      </c>
      <c r="E115" s="3">
        <v>2380000</v>
      </c>
      <c r="F115" s="3">
        <v>-2380000</v>
      </c>
      <c r="G115" s="3">
        <v>0</v>
      </c>
      <c r="H115" s="1" t="s">
        <v>0</v>
      </c>
      <c r="I115" s="1" t="s">
        <v>2</v>
      </c>
      <c r="J115" s="1" t="s">
        <v>56</v>
      </c>
      <c r="K115" s="2"/>
      <c r="L115" s="1">
        <v>47567015</v>
      </c>
      <c r="M115" t="s">
        <v>1272</v>
      </c>
      <c r="N115">
        <v>41756150</v>
      </c>
      <c r="O115" t="s">
        <v>1315</v>
      </c>
    </row>
    <row r="116" spans="1:15" x14ac:dyDescent="0.35">
      <c r="A116" s="1" t="s">
        <v>1051</v>
      </c>
      <c r="B116" s="1" t="s">
        <v>4</v>
      </c>
      <c r="C116" s="1" t="s">
        <v>1050</v>
      </c>
      <c r="D116" s="2">
        <v>43739</v>
      </c>
      <c r="E116" s="3">
        <v>7946237</v>
      </c>
      <c r="F116" s="3">
        <v>-5128318</v>
      </c>
      <c r="G116" s="3">
        <v>2817919</v>
      </c>
      <c r="H116" s="1" t="s">
        <v>0</v>
      </c>
      <c r="I116" s="1" t="s">
        <v>2</v>
      </c>
      <c r="J116" s="1" t="s">
        <v>202</v>
      </c>
      <c r="K116" s="2"/>
      <c r="L116" s="14">
        <v>47544032</v>
      </c>
      <c r="M116" t="s">
        <v>1277</v>
      </c>
      <c r="N116" s="12">
        <v>41754150</v>
      </c>
      <c r="O116" t="s">
        <v>1321</v>
      </c>
    </row>
    <row r="117" spans="1:15" x14ac:dyDescent="0.35">
      <c r="A117" s="1" t="s">
        <v>1049</v>
      </c>
      <c r="B117" s="1" t="s">
        <v>4</v>
      </c>
      <c r="C117" s="1" t="s">
        <v>1048</v>
      </c>
      <c r="D117" s="2">
        <v>43782</v>
      </c>
      <c r="E117" s="3">
        <v>9550000</v>
      </c>
      <c r="F117" s="3">
        <v>-6123556</v>
      </c>
      <c r="G117" s="3">
        <v>3426444</v>
      </c>
      <c r="H117" s="1" t="s">
        <v>0</v>
      </c>
      <c r="I117" s="1" t="s">
        <v>2</v>
      </c>
      <c r="J117" s="1" t="s">
        <v>76</v>
      </c>
      <c r="K117" s="2"/>
      <c r="L117" s="14">
        <v>47544011</v>
      </c>
      <c r="M117" t="s">
        <v>1276</v>
      </c>
      <c r="N117" s="12">
        <v>41754150</v>
      </c>
      <c r="O117" t="s">
        <v>1357</v>
      </c>
    </row>
    <row r="118" spans="1:15" hidden="1" x14ac:dyDescent="0.35">
      <c r="A118" s="1" t="s">
        <v>1047</v>
      </c>
      <c r="B118" s="1" t="s">
        <v>4</v>
      </c>
      <c r="C118" s="1" t="s">
        <v>1046</v>
      </c>
      <c r="D118" s="2">
        <v>43789</v>
      </c>
      <c r="E118" s="3">
        <v>5505434</v>
      </c>
      <c r="F118" s="3">
        <v>-5505434</v>
      </c>
      <c r="G118" s="3">
        <v>0</v>
      </c>
      <c r="H118" s="1" t="s">
        <v>0</v>
      </c>
      <c r="I118" s="1" t="s">
        <v>2</v>
      </c>
      <c r="J118" s="1" t="s">
        <v>56</v>
      </c>
      <c r="K118" s="2"/>
      <c r="L118" s="1">
        <v>47567015</v>
      </c>
      <c r="M118" t="s">
        <v>1272</v>
      </c>
      <c r="N118">
        <v>41756150</v>
      </c>
      <c r="O118" t="s">
        <v>1315</v>
      </c>
    </row>
    <row r="119" spans="1:15" hidden="1" x14ac:dyDescent="0.35">
      <c r="A119" s="1" t="s">
        <v>1045</v>
      </c>
      <c r="B119" s="1" t="s">
        <v>4</v>
      </c>
      <c r="C119" s="1" t="s">
        <v>1043</v>
      </c>
      <c r="D119" s="2">
        <v>43790</v>
      </c>
      <c r="E119" s="3">
        <v>4290000</v>
      </c>
      <c r="F119" s="3">
        <v>-4290000</v>
      </c>
      <c r="G119" s="3">
        <v>0</v>
      </c>
      <c r="H119" s="1" t="s">
        <v>0</v>
      </c>
      <c r="I119" s="1" t="s">
        <v>2</v>
      </c>
      <c r="J119" s="1" t="s">
        <v>56</v>
      </c>
      <c r="K119" s="2"/>
      <c r="L119" s="1">
        <v>47567015</v>
      </c>
      <c r="M119" t="s">
        <v>1272</v>
      </c>
      <c r="N119">
        <v>41756150</v>
      </c>
      <c r="O119" t="s">
        <v>1315</v>
      </c>
    </row>
    <row r="120" spans="1:15" hidden="1" x14ac:dyDescent="0.35">
      <c r="A120" s="1" t="s">
        <v>1044</v>
      </c>
      <c r="B120" s="1" t="s">
        <v>4</v>
      </c>
      <c r="C120" s="1" t="s">
        <v>1043</v>
      </c>
      <c r="D120" s="2">
        <v>43790</v>
      </c>
      <c r="E120" s="3">
        <v>4290000</v>
      </c>
      <c r="F120" s="3">
        <v>-4290000</v>
      </c>
      <c r="G120" s="3">
        <v>0</v>
      </c>
      <c r="H120" s="1" t="s">
        <v>0</v>
      </c>
      <c r="I120" s="1" t="s">
        <v>2</v>
      </c>
      <c r="J120" s="1" t="s">
        <v>56</v>
      </c>
      <c r="K120" s="2"/>
      <c r="L120" s="1">
        <v>47567015</v>
      </c>
      <c r="M120" t="s">
        <v>1272</v>
      </c>
      <c r="N120">
        <v>41756150</v>
      </c>
      <c r="O120" t="s">
        <v>1315</v>
      </c>
    </row>
    <row r="121" spans="1:15" x14ac:dyDescent="0.35">
      <c r="A121" s="1" t="s">
        <v>1042</v>
      </c>
      <c r="B121" s="1" t="s">
        <v>4</v>
      </c>
      <c r="C121" s="1" t="s">
        <v>1041</v>
      </c>
      <c r="D121" s="2">
        <v>43790</v>
      </c>
      <c r="E121" s="3">
        <v>33786000</v>
      </c>
      <c r="F121" s="3">
        <v>-21663923</v>
      </c>
      <c r="G121" s="3">
        <v>12122077</v>
      </c>
      <c r="H121" s="1" t="s">
        <v>0</v>
      </c>
      <c r="I121" s="1" t="s">
        <v>2</v>
      </c>
      <c r="J121" s="1" t="s">
        <v>202</v>
      </c>
      <c r="K121" s="2"/>
      <c r="L121" s="14">
        <v>47544032</v>
      </c>
      <c r="M121" t="s">
        <v>1277</v>
      </c>
      <c r="N121" s="12">
        <v>41754150</v>
      </c>
      <c r="O121" t="s">
        <v>1321</v>
      </c>
    </row>
    <row r="122" spans="1:15" hidden="1" x14ac:dyDescent="0.35">
      <c r="A122" s="1" t="s">
        <v>1040</v>
      </c>
      <c r="B122" s="1" t="s">
        <v>4</v>
      </c>
      <c r="C122" s="1" t="s">
        <v>1039</v>
      </c>
      <c r="D122" s="2">
        <v>43808</v>
      </c>
      <c r="E122" s="3">
        <v>6283304</v>
      </c>
      <c r="F122" s="3">
        <v>-6283304</v>
      </c>
      <c r="G122" s="3">
        <v>0</v>
      </c>
      <c r="H122" s="1" t="s">
        <v>0</v>
      </c>
      <c r="I122" s="1" t="s">
        <v>2</v>
      </c>
      <c r="J122" s="1" t="s">
        <v>56</v>
      </c>
      <c r="K122" s="2"/>
      <c r="L122" s="1">
        <v>47567015</v>
      </c>
      <c r="M122" t="s">
        <v>1272</v>
      </c>
      <c r="N122">
        <v>41756150</v>
      </c>
      <c r="O122" t="s">
        <v>1315</v>
      </c>
    </row>
    <row r="123" spans="1:15" hidden="1" x14ac:dyDescent="0.35">
      <c r="A123" s="1" t="s">
        <v>1038</v>
      </c>
      <c r="B123" s="1" t="s">
        <v>4</v>
      </c>
      <c r="C123" s="1" t="s">
        <v>1037</v>
      </c>
      <c r="D123" s="2">
        <v>43831</v>
      </c>
      <c r="E123" s="3">
        <v>37871750</v>
      </c>
      <c r="F123" s="3">
        <v>-23968149</v>
      </c>
      <c r="G123" s="3">
        <v>13903601</v>
      </c>
      <c r="H123" s="1" t="s">
        <v>0</v>
      </c>
      <c r="I123" s="1" t="s">
        <v>2</v>
      </c>
      <c r="J123" s="1" t="s">
        <v>76</v>
      </c>
      <c r="K123" s="2"/>
      <c r="L123" s="1">
        <v>47567015</v>
      </c>
      <c r="M123" t="s">
        <v>1272</v>
      </c>
      <c r="N123">
        <v>41756150</v>
      </c>
      <c r="O123" t="s">
        <v>1315</v>
      </c>
    </row>
    <row r="124" spans="1:15" x14ac:dyDescent="0.35">
      <c r="A124" s="1" t="s">
        <v>1036</v>
      </c>
      <c r="B124" s="1" t="s">
        <v>4</v>
      </c>
      <c r="C124" s="1" t="s">
        <v>1035</v>
      </c>
      <c r="D124" s="2">
        <v>43831</v>
      </c>
      <c r="E124" s="3">
        <v>39490000</v>
      </c>
      <c r="F124" s="3">
        <v>-24992301</v>
      </c>
      <c r="G124" s="3">
        <v>14497699</v>
      </c>
      <c r="H124" s="1" t="s">
        <v>0</v>
      </c>
      <c r="I124" s="1" t="s">
        <v>2</v>
      </c>
      <c r="J124" s="1" t="s">
        <v>76</v>
      </c>
      <c r="K124" s="2"/>
      <c r="L124" s="14">
        <v>47544018</v>
      </c>
      <c r="M124" t="s">
        <v>1281</v>
      </c>
      <c r="N124" s="12">
        <v>41754150</v>
      </c>
      <c r="O124" t="s">
        <v>1347</v>
      </c>
    </row>
    <row r="125" spans="1:15" x14ac:dyDescent="0.35">
      <c r="A125" s="1" t="s">
        <v>1034</v>
      </c>
      <c r="B125" s="1" t="s">
        <v>4</v>
      </c>
      <c r="C125" s="1" t="s">
        <v>1033</v>
      </c>
      <c r="D125" s="2">
        <v>43831</v>
      </c>
      <c r="E125" s="3">
        <v>79490000</v>
      </c>
      <c r="F125" s="3">
        <v>-50307370</v>
      </c>
      <c r="G125" s="3">
        <v>29182630</v>
      </c>
      <c r="H125" s="1" t="s">
        <v>0</v>
      </c>
      <c r="I125" s="1" t="s">
        <v>2</v>
      </c>
      <c r="J125" s="1" t="s">
        <v>76</v>
      </c>
      <c r="K125" s="2"/>
      <c r="L125" s="14">
        <v>47544018</v>
      </c>
      <c r="M125" t="s">
        <v>1281</v>
      </c>
      <c r="N125" s="12">
        <v>41754150</v>
      </c>
      <c r="O125" t="s">
        <v>1347</v>
      </c>
    </row>
    <row r="126" spans="1:15" hidden="1" x14ac:dyDescent="0.35">
      <c r="A126" s="1" t="s">
        <v>1032</v>
      </c>
      <c r="B126" s="1" t="s">
        <v>4</v>
      </c>
      <c r="C126" s="1" t="s">
        <v>1031</v>
      </c>
      <c r="D126" s="2">
        <v>43850</v>
      </c>
      <c r="E126" s="3">
        <v>14091704</v>
      </c>
      <c r="F126" s="3">
        <v>-8918309</v>
      </c>
      <c r="G126" s="3">
        <v>5173395</v>
      </c>
      <c r="H126" s="1" t="s">
        <v>0</v>
      </c>
      <c r="I126" s="1" t="s">
        <v>2</v>
      </c>
      <c r="J126" s="1" t="s">
        <v>355</v>
      </c>
      <c r="K126" s="2"/>
      <c r="L126" s="1">
        <v>47567015</v>
      </c>
      <c r="M126" t="s">
        <v>1272</v>
      </c>
      <c r="N126">
        <v>41756150</v>
      </c>
      <c r="O126" t="s">
        <v>1315</v>
      </c>
    </row>
    <row r="127" spans="1:15" x14ac:dyDescent="0.35">
      <c r="A127" s="1" t="s">
        <v>1030</v>
      </c>
      <c r="B127" s="1" t="s">
        <v>4</v>
      </c>
      <c r="C127" s="1" t="s">
        <v>1029</v>
      </c>
      <c r="D127" s="2">
        <v>43872</v>
      </c>
      <c r="E127" s="3">
        <v>13364890</v>
      </c>
      <c r="F127" s="3">
        <v>-8345128</v>
      </c>
      <c r="G127" s="3">
        <v>5019762</v>
      </c>
      <c r="H127" s="1" t="s">
        <v>0</v>
      </c>
      <c r="I127" s="1" t="s">
        <v>2</v>
      </c>
      <c r="J127" s="1" t="s">
        <v>202</v>
      </c>
      <c r="K127" s="2"/>
      <c r="L127" s="14">
        <v>47544032</v>
      </c>
      <c r="M127" t="s">
        <v>1277</v>
      </c>
      <c r="N127" s="12">
        <v>41754150</v>
      </c>
      <c r="O127" t="s">
        <v>1357</v>
      </c>
    </row>
    <row r="128" spans="1:15" hidden="1" x14ac:dyDescent="0.35">
      <c r="A128" s="1" t="s">
        <v>1028</v>
      </c>
      <c r="B128" s="1" t="s">
        <v>4</v>
      </c>
      <c r="C128" s="1" t="s">
        <v>1027</v>
      </c>
      <c r="D128" s="2">
        <v>43882</v>
      </c>
      <c r="E128" s="3">
        <v>3000000</v>
      </c>
      <c r="F128" s="3">
        <v>-3000000</v>
      </c>
      <c r="G128" s="3">
        <v>0</v>
      </c>
      <c r="H128" s="1" t="s">
        <v>0</v>
      </c>
      <c r="I128" s="1" t="s">
        <v>2</v>
      </c>
      <c r="J128" s="1" t="s">
        <v>56</v>
      </c>
      <c r="K128" s="2"/>
      <c r="L128" s="1">
        <v>47567015</v>
      </c>
      <c r="M128" t="s">
        <v>1272</v>
      </c>
      <c r="N128">
        <v>41756150</v>
      </c>
      <c r="O128" t="s">
        <v>1315</v>
      </c>
    </row>
    <row r="129" spans="1:15" hidden="1" x14ac:dyDescent="0.35">
      <c r="A129" s="1" t="s">
        <v>1026</v>
      </c>
      <c r="B129" s="1" t="s">
        <v>4</v>
      </c>
      <c r="C129" s="1" t="s">
        <v>1023</v>
      </c>
      <c r="D129" s="2">
        <v>43894</v>
      </c>
      <c r="E129" s="3">
        <v>3819900</v>
      </c>
      <c r="F129" s="3">
        <v>-3819900</v>
      </c>
      <c r="G129" s="3">
        <v>0</v>
      </c>
      <c r="H129" s="1" t="s">
        <v>0</v>
      </c>
      <c r="I129" s="1" t="s">
        <v>2</v>
      </c>
      <c r="J129" s="1" t="s">
        <v>56</v>
      </c>
      <c r="K129" s="2"/>
      <c r="L129" s="1">
        <v>47567015</v>
      </c>
      <c r="M129" t="s">
        <v>1272</v>
      </c>
      <c r="N129">
        <v>41756150</v>
      </c>
      <c r="O129" t="s">
        <v>1315</v>
      </c>
    </row>
    <row r="130" spans="1:15" hidden="1" x14ac:dyDescent="0.35">
      <c r="A130" s="1" t="s">
        <v>1025</v>
      </c>
      <c r="B130" s="1" t="s">
        <v>4</v>
      </c>
      <c r="C130" s="1" t="s">
        <v>1023</v>
      </c>
      <c r="D130" s="2">
        <v>43894</v>
      </c>
      <c r="E130" s="3">
        <v>3819900</v>
      </c>
      <c r="F130" s="3">
        <v>-3819900</v>
      </c>
      <c r="G130" s="3">
        <v>0</v>
      </c>
      <c r="H130" s="1" t="s">
        <v>0</v>
      </c>
      <c r="I130" s="1" t="s">
        <v>2</v>
      </c>
      <c r="J130" s="1" t="s">
        <v>56</v>
      </c>
      <c r="K130" s="2"/>
      <c r="L130" s="1">
        <v>47567015</v>
      </c>
      <c r="M130" t="s">
        <v>1272</v>
      </c>
      <c r="N130">
        <v>41756150</v>
      </c>
      <c r="O130" t="s">
        <v>1315</v>
      </c>
    </row>
    <row r="131" spans="1:15" hidden="1" x14ac:dyDescent="0.35">
      <c r="A131" s="1" t="s">
        <v>1024</v>
      </c>
      <c r="B131" s="1" t="s">
        <v>4</v>
      </c>
      <c r="C131" s="1" t="s">
        <v>1023</v>
      </c>
      <c r="D131" s="2">
        <v>43894</v>
      </c>
      <c r="E131" s="3">
        <v>3819900</v>
      </c>
      <c r="F131" s="3">
        <v>-3819900</v>
      </c>
      <c r="G131" s="3">
        <v>0</v>
      </c>
      <c r="H131" s="1" t="s">
        <v>0</v>
      </c>
      <c r="I131" s="1" t="s">
        <v>2</v>
      </c>
      <c r="J131" s="1" t="s">
        <v>56</v>
      </c>
      <c r="K131" s="2"/>
      <c r="L131" s="1">
        <v>47567015</v>
      </c>
      <c r="M131" t="s">
        <v>1272</v>
      </c>
      <c r="N131">
        <v>41756150</v>
      </c>
      <c r="O131" t="s">
        <v>1315</v>
      </c>
    </row>
    <row r="132" spans="1:15" hidden="1" x14ac:dyDescent="0.35">
      <c r="A132" s="1" t="s">
        <v>1022</v>
      </c>
      <c r="B132" s="1" t="s">
        <v>4</v>
      </c>
      <c r="C132" s="1" t="s">
        <v>1021</v>
      </c>
      <c r="D132" s="2">
        <v>43942</v>
      </c>
      <c r="E132" s="3">
        <v>3966080</v>
      </c>
      <c r="F132" s="3">
        <v>-3966080</v>
      </c>
      <c r="G132" s="3">
        <v>0</v>
      </c>
      <c r="H132" s="1" t="s">
        <v>0</v>
      </c>
      <c r="I132" s="1" t="s">
        <v>2</v>
      </c>
      <c r="J132" s="1" t="s">
        <v>355</v>
      </c>
      <c r="K132" s="2"/>
      <c r="L132" s="1">
        <v>47567015</v>
      </c>
      <c r="M132" t="s">
        <v>1272</v>
      </c>
      <c r="N132">
        <v>41756150</v>
      </c>
      <c r="O132" t="s">
        <v>1315</v>
      </c>
    </row>
    <row r="133" spans="1:15" hidden="1" x14ac:dyDescent="0.35">
      <c r="A133" s="1" t="s">
        <v>1020</v>
      </c>
      <c r="B133" s="1" t="s">
        <v>4</v>
      </c>
      <c r="C133" s="1" t="s">
        <v>792</v>
      </c>
      <c r="D133" s="2">
        <v>43942</v>
      </c>
      <c r="E133" s="3">
        <v>3966080</v>
      </c>
      <c r="F133" s="3">
        <v>-3966080</v>
      </c>
      <c r="G133" s="3">
        <v>0</v>
      </c>
      <c r="H133" s="1" t="s">
        <v>0</v>
      </c>
      <c r="I133" s="1" t="s">
        <v>2</v>
      </c>
      <c r="J133" s="1" t="s">
        <v>355</v>
      </c>
      <c r="K133" s="2"/>
      <c r="L133" s="1">
        <v>47567015</v>
      </c>
      <c r="M133" t="s">
        <v>1272</v>
      </c>
      <c r="N133">
        <v>41756150</v>
      </c>
      <c r="O133" t="s">
        <v>1315</v>
      </c>
    </row>
    <row r="134" spans="1:15" x14ac:dyDescent="0.35">
      <c r="A134" s="1" t="s">
        <v>1019</v>
      </c>
      <c r="B134" s="1" t="s">
        <v>4</v>
      </c>
      <c r="C134" s="1" t="s">
        <v>1018</v>
      </c>
      <c r="D134" s="2">
        <v>43952</v>
      </c>
      <c r="E134" s="3">
        <v>1275296002</v>
      </c>
      <c r="F134" s="3">
        <v>-764943715</v>
      </c>
      <c r="G134" s="3">
        <v>510352287</v>
      </c>
      <c r="H134" s="1" t="s">
        <v>0</v>
      </c>
      <c r="I134" s="1" t="s">
        <v>2</v>
      </c>
      <c r="J134" s="1" t="s">
        <v>76</v>
      </c>
      <c r="K134" s="2"/>
      <c r="L134" s="14">
        <v>47544015</v>
      </c>
      <c r="M134" t="s">
        <v>1280</v>
      </c>
      <c r="N134" s="12">
        <v>41754150</v>
      </c>
      <c r="O134" t="s">
        <v>1340</v>
      </c>
    </row>
    <row r="135" spans="1:15" x14ac:dyDescent="0.35">
      <c r="A135" s="1" t="s">
        <v>1017</v>
      </c>
      <c r="B135" s="1" t="s">
        <v>4</v>
      </c>
      <c r="C135" s="1" t="s">
        <v>1016</v>
      </c>
      <c r="D135" s="2">
        <v>43958</v>
      </c>
      <c r="E135" s="3">
        <v>50634214</v>
      </c>
      <c r="F135" s="3">
        <v>-30371240</v>
      </c>
      <c r="G135" s="3">
        <v>20262974</v>
      </c>
      <c r="H135" s="1" t="s">
        <v>0</v>
      </c>
      <c r="I135" s="1" t="s">
        <v>2</v>
      </c>
      <c r="J135" s="1" t="s">
        <v>202</v>
      </c>
      <c r="K135" s="2"/>
      <c r="L135" s="14">
        <v>47544032</v>
      </c>
      <c r="M135" t="s">
        <v>1277</v>
      </c>
      <c r="N135" s="12">
        <v>41754150</v>
      </c>
      <c r="O135" t="s">
        <v>1341</v>
      </c>
    </row>
    <row r="136" spans="1:15" x14ac:dyDescent="0.35">
      <c r="A136" s="1" t="s">
        <v>1015</v>
      </c>
      <c r="B136" s="1" t="s">
        <v>4</v>
      </c>
      <c r="C136" s="1" t="s">
        <v>1014</v>
      </c>
      <c r="D136" s="2">
        <v>43963</v>
      </c>
      <c r="E136" s="3">
        <v>100300340</v>
      </c>
      <c r="F136" s="3">
        <v>-60161809</v>
      </c>
      <c r="G136" s="3">
        <v>40138531</v>
      </c>
      <c r="H136" s="1" t="s">
        <v>0</v>
      </c>
      <c r="I136" s="1" t="s">
        <v>2</v>
      </c>
      <c r="J136" s="1" t="s">
        <v>202</v>
      </c>
      <c r="K136" s="2"/>
      <c r="L136" s="14">
        <v>47544032</v>
      </c>
      <c r="M136" t="s">
        <v>1277</v>
      </c>
      <c r="N136" s="12">
        <v>41754150</v>
      </c>
      <c r="O136" t="s">
        <v>1321</v>
      </c>
    </row>
    <row r="137" spans="1:15" hidden="1" x14ac:dyDescent="0.35">
      <c r="A137" s="1" t="s">
        <v>1013</v>
      </c>
      <c r="B137" s="1" t="s">
        <v>4</v>
      </c>
      <c r="C137" s="1" t="s">
        <v>1012</v>
      </c>
      <c r="D137" s="2">
        <v>43971</v>
      </c>
      <c r="E137" s="3">
        <v>3485000</v>
      </c>
      <c r="F137" s="3">
        <v>-3485000</v>
      </c>
      <c r="G137" s="3">
        <v>0</v>
      </c>
      <c r="H137" s="1" t="s">
        <v>0</v>
      </c>
      <c r="I137" s="1" t="s">
        <v>2</v>
      </c>
      <c r="J137" s="1" t="s">
        <v>56</v>
      </c>
      <c r="K137" s="2"/>
      <c r="L137" s="1">
        <v>47567015</v>
      </c>
      <c r="M137" t="s">
        <v>1272</v>
      </c>
      <c r="N137">
        <v>41756150</v>
      </c>
      <c r="O137" t="s">
        <v>1315</v>
      </c>
    </row>
    <row r="138" spans="1:15" x14ac:dyDescent="0.35">
      <c r="A138" s="1" t="s">
        <v>1011</v>
      </c>
      <c r="B138" s="1" t="s">
        <v>4</v>
      </c>
      <c r="C138" s="1" t="s">
        <v>1010</v>
      </c>
      <c r="D138" s="2">
        <v>44043</v>
      </c>
      <c r="E138" s="3">
        <v>1327889</v>
      </c>
      <c r="F138" s="3">
        <v>-1083592</v>
      </c>
      <c r="G138" s="3">
        <v>244297</v>
      </c>
      <c r="H138" s="1" t="s">
        <v>0</v>
      </c>
      <c r="I138" s="1" t="s">
        <v>2</v>
      </c>
      <c r="J138" s="1" t="s">
        <v>76</v>
      </c>
      <c r="K138" s="2"/>
      <c r="L138" s="14">
        <v>47567021</v>
      </c>
      <c r="M138" t="s">
        <v>1285</v>
      </c>
      <c r="N138" s="12">
        <v>41756150</v>
      </c>
      <c r="O138" t="s">
        <v>1322</v>
      </c>
    </row>
    <row r="139" spans="1:15" x14ac:dyDescent="0.35">
      <c r="A139" s="1" t="s">
        <v>1009</v>
      </c>
      <c r="B139" s="1" t="s">
        <v>4</v>
      </c>
      <c r="C139" s="1" t="s">
        <v>1008</v>
      </c>
      <c r="D139" s="2">
        <v>44043</v>
      </c>
      <c r="E139" s="3">
        <v>2184905</v>
      </c>
      <c r="F139" s="3">
        <v>-1274129</v>
      </c>
      <c r="G139" s="3">
        <v>910776</v>
      </c>
      <c r="H139" s="1" t="s">
        <v>0</v>
      </c>
      <c r="I139" s="1" t="s">
        <v>2</v>
      </c>
      <c r="J139" s="1" t="s">
        <v>76</v>
      </c>
      <c r="K139" s="2"/>
      <c r="L139" s="14">
        <v>47544025</v>
      </c>
      <c r="M139" t="s">
        <v>1278</v>
      </c>
      <c r="N139" s="12">
        <v>41754150</v>
      </c>
      <c r="O139" t="s">
        <v>1340</v>
      </c>
    </row>
    <row r="140" spans="1:15" hidden="1" x14ac:dyDescent="0.35">
      <c r="A140" s="1" t="s">
        <v>1007</v>
      </c>
      <c r="B140" s="1" t="s">
        <v>4</v>
      </c>
      <c r="C140" s="1" t="s">
        <v>1006</v>
      </c>
      <c r="D140" s="2">
        <v>44043</v>
      </c>
      <c r="E140" s="3">
        <v>2270256</v>
      </c>
      <c r="F140" s="3">
        <v>-2270256</v>
      </c>
      <c r="G140" s="3">
        <v>0</v>
      </c>
      <c r="H140" s="1" t="s">
        <v>0</v>
      </c>
      <c r="I140" s="1" t="s">
        <v>2</v>
      </c>
      <c r="J140" s="1" t="s">
        <v>56</v>
      </c>
      <c r="K140" s="2"/>
      <c r="L140" s="1">
        <v>47567015</v>
      </c>
      <c r="M140" t="s">
        <v>1272</v>
      </c>
      <c r="N140">
        <v>41756150</v>
      </c>
      <c r="O140" t="s">
        <v>1315</v>
      </c>
    </row>
    <row r="141" spans="1:15" hidden="1" x14ac:dyDescent="0.35">
      <c r="A141" s="1" t="s">
        <v>1005</v>
      </c>
      <c r="B141" s="1" t="s">
        <v>4</v>
      </c>
      <c r="C141" s="1" t="s">
        <v>1004</v>
      </c>
      <c r="D141" s="2">
        <v>44043</v>
      </c>
      <c r="E141" s="3">
        <v>2270256</v>
      </c>
      <c r="F141" s="3">
        <v>-2270256</v>
      </c>
      <c r="G141" s="3">
        <v>0</v>
      </c>
      <c r="H141" s="1" t="s">
        <v>0</v>
      </c>
      <c r="I141" s="1" t="s">
        <v>2</v>
      </c>
      <c r="J141" s="1" t="s">
        <v>56</v>
      </c>
      <c r="K141" s="2"/>
      <c r="L141" s="1">
        <v>47567015</v>
      </c>
      <c r="M141" t="s">
        <v>1272</v>
      </c>
      <c r="N141">
        <v>41756150</v>
      </c>
      <c r="O141" t="s">
        <v>1315</v>
      </c>
    </row>
    <row r="142" spans="1:15" x14ac:dyDescent="0.35">
      <c r="A142" s="1" t="s">
        <v>1003</v>
      </c>
      <c r="B142" s="1" t="s">
        <v>4</v>
      </c>
      <c r="C142" s="1" t="s">
        <v>1002</v>
      </c>
      <c r="D142" s="2">
        <v>44043</v>
      </c>
      <c r="E142" s="3">
        <v>3991991</v>
      </c>
      <c r="F142" s="3">
        <v>-2327929</v>
      </c>
      <c r="G142" s="3">
        <v>1664062</v>
      </c>
      <c r="H142" s="1" t="s">
        <v>0</v>
      </c>
      <c r="I142" s="1" t="s">
        <v>2</v>
      </c>
      <c r="J142" s="1" t="s">
        <v>202</v>
      </c>
      <c r="K142" s="2"/>
      <c r="L142" s="14">
        <v>47544032</v>
      </c>
      <c r="M142" t="s">
        <v>1277</v>
      </c>
      <c r="N142" s="12">
        <v>41754150</v>
      </c>
      <c r="O142" t="s">
        <v>1321</v>
      </c>
    </row>
    <row r="143" spans="1:15" x14ac:dyDescent="0.35">
      <c r="A143" s="1" t="s">
        <v>1001</v>
      </c>
      <c r="B143" s="1" t="s">
        <v>4</v>
      </c>
      <c r="C143" s="1" t="s">
        <v>1000</v>
      </c>
      <c r="D143" s="2">
        <v>44043</v>
      </c>
      <c r="E143" s="3">
        <v>5708738</v>
      </c>
      <c r="F143" s="3">
        <v>-3329052</v>
      </c>
      <c r="G143" s="3">
        <v>2379686</v>
      </c>
      <c r="H143" s="1" t="s">
        <v>0</v>
      </c>
      <c r="I143" s="1" t="s">
        <v>2</v>
      </c>
      <c r="J143" s="1" t="s">
        <v>202</v>
      </c>
      <c r="K143" s="2"/>
      <c r="L143" s="14">
        <v>47544032</v>
      </c>
      <c r="M143" t="s">
        <v>1277</v>
      </c>
      <c r="N143" s="12">
        <v>41754150</v>
      </c>
      <c r="O143" t="s">
        <v>1321</v>
      </c>
    </row>
    <row r="144" spans="1:15" x14ac:dyDescent="0.35">
      <c r="A144" s="1" t="s">
        <v>999</v>
      </c>
      <c r="B144" s="1" t="s">
        <v>4</v>
      </c>
      <c r="C144" s="1" t="s">
        <v>998</v>
      </c>
      <c r="D144" s="2">
        <v>44043</v>
      </c>
      <c r="E144" s="3">
        <v>6367450</v>
      </c>
      <c r="F144" s="3">
        <v>-3713178</v>
      </c>
      <c r="G144" s="3">
        <v>2654272</v>
      </c>
      <c r="H144" s="1" t="s">
        <v>0</v>
      </c>
      <c r="I144" s="1" t="s">
        <v>2</v>
      </c>
      <c r="J144" s="1" t="s">
        <v>202</v>
      </c>
      <c r="K144" s="2"/>
      <c r="L144" s="14">
        <v>47544032</v>
      </c>
      <c r="M144" t="s">
        <v>1277</v>
      </c>
      <c r="N144" s="12">
        <v>41754150</v>
      </c>
      <c r="O144" t="s">
        <v>1321</v>
      </c>
    </row>
    <row r="145" spans="1:15" x14ac:dyDescent="0.35">
      <c r="A145" s="1" t="s">
        <v>997</v>
      </c>
      <c r="B145" s="1" t="s">
        <v>4</v>
      </c>
      <c r="C145" s="1" t="s">
        <v>996</v>
      </c>
      <c r="D145" s="2">
        <v>44044</v>
      </c>
      <c r="E145" s="3">
        <v>93900000</v>
      </c>
      <c r="F145" s="3">
        <v>-53962451</v>
      </c>
      <c r="G145" s="3">
        <v>39937549</v>
      </c>
      <c r="H145" s="1" t="s">
        <v>0</v>
      </c>
      <c r="I145" s="1" t="s">
        <v>2</v>
      </c>
      <c r="J145" s="1" t="s">
        <v>76</v>
      </c>
      <c r="K145" s="2"/>
      <c r="L145" s="14">
        <v>47544026</v>
      </c>
      <c r="M145" t="s">
        <v>1286</v>
      </c>
      <c r="N145" s="12">
        <v>41754150</v>
      </c>
      <c r="O145" t="s">
        <v>1361</v>
      </c>
    </row>
    <row r="146" spans="1:15" hidden="1" x14ac:dyDescent="0.35">
      <c r="A146" s="1" t="s">
        <v>995</v>
      </c>
      <c r="B146" s="1" t="s">
        <v>4</v>
      </c>
      <c r="C146" s="1" t="s">
        <v>994</v>
      </c>
      <c r="D146" s="2">
        <v>44075</v>
      </c>
      <c r="E146" s="3">
        <v>20725802</v>
      </c>
      <c r="F146" s="3">
        <v>-20725802</v>
      </c>
      <c r="G146" s="3">
        <v>0</v>
      </c>
      <c r="H146" s="1" t="s">
        <v>0</v>
      </c>
      <c r="I146" s="1" t="s">
        <v>2</v>
      </c>
      <c r="J146" s="1" t="s">
        <v>355</v>
      </c>
      <c r="K146" s="2"/>
      <c r="L146" s="1">
        <v>47567015</v>
      </c>
      <c r="M146" t="s">
        <v>1272</v>
      </c>
      <c r="N146">
        <v>41756150</v>
      </c>
      <c r="O146" t="s">
        <v>1315</v>
      </c>
    </row>
    <row r="147" spans="1:15" x14ac:dyDescent="0.35">
      <c r="A147" s="1" t="s">
        <v>993</v>
      </c>
      <c r="B147" s="1" t="s">
        <v>4</v>
      </c>
      <c r="C147" s="1" t="s">
        <v>992</v>
      </c>
      <c r="D147" s="2">
        <v>44104</v>
      </c>
      <c r="E147" s="3">
        <v>1138500</v>
      </c>
      <c r="F147" s="3">
        <v>-909760</v>
      </c>
      <c r="G147" s="3">
        <v>228740</v>
      </c>
      <c r="H147" s="1" t="s">
        <v>0</v>
      </c>
      <c r="I147" s="1" t="s">
        <v>2</v>
      </c>
      <c r="J147" s="1" t="s">
        <v>76</v>
      </c>
      <c r="K147" s="2"/>
      <c r="L147" s="14">
        <v>47544021</v>
      </c>
      <c r="M147" t="s">
        <v>1282</v>
      </c>
      <c r="N147" s="12">
        <v>41754150</v>
      </c>
      <c r="O147" t="s">
        <v>1340</v>
      </c>
    </row>
    <row r="148" spans="1:15" x14ac:dyDescent="0.35">
      <c r="A148" s="1" t="s">
        <v>991</v>
      </c>
      <c r="B148" s="1" t="s">
        <v>4</v>
      </c>
      <c r="C148" s="1" t="s">
        <v>990</v>
      </c>
      <c r="D148" s="2">
        <v>44104</v>
      </c>
      <c r="E148" s="3">
        <v>2618000</v>
      </c>
      <c r="F148" s="3">
        <v>-1482338</v>
      </c>
      <c r="G148" s="3">
        <v>1135662</v>
      </c>
      <c r="H148" s="1" t="s">
        <v>0</v>
      </c>
      <c r="I148" s="1" t="s">
        <v>2</v>
      </c>
      <c r="J148" s="1" t="s">
        <v>76</v>
      </c>
      <c r="K148" s="2"/>
      <c r="L148" s="14">
        <v>47544032</v>
      </c>
      <c r="M148" t="s">
        <v>1277</v>
      </c>
      <c r="N148" s="12">
        <v>41754150</v>
      </c>
      <c r="O148" t="s">
        <v>1321</v>
      </c>
    </row>
    <row r="149" spans="1:15" x14ac:dyDescent="0.35">
      <c r="A149" s="1" t="s">
        <v>989</v>
      </c>
      <c r="B149" s="1" t="s">
        <v>4</v>
      </c>
      <c r="C149" s="1" t="s">
        <v>988</v>
      </c>
      <c r="D149" s="2">
        <v>44076</v>
      </c>
      <c r="E149" s="3">
        <v>16707667</v>
      </c>
      <c r="F149" s="3">
        <v>-9460050</v>
      </c>
      <c r="G149" s="3">
        <v>7247617</v>
      </c>
      <c r="H149" s="1" t="s">
        <v>0</v>
      </c>
      <c r="I149" s="1" t="s">
        <v>2</v>
      </c>
      <c r="J149" s="1" t="s">
        <v>76</v>
      </c>
      <c r="K149" s="2"/>
      <c r="L149" s="14">
        <v>47544018</v>
      </c>
      <c r="M149" t="s">
        <v>1281</v>
      </c>
      <c r="N149" s="12">
        <v>41754150</v>
      </c>
      <c r="O149" t="s">
        <v>1349</v>
      </c>
    </row>
    <row r="150" spans="1:15" hidden="1" x14ac:dyDescent="0.35">
      <c r="A150" s="4" t="s">
        <v>987</v>
      </c>
      <c r="B150" s="4" t="s">
        <v>4</v>
      </c>
      <c r="C150" s="5" t="s">
        <v>986</v>
      </c>
      <c r="D150" s="2">
        <v>44104</v>
      </c>
      <c r="E150" s="3">
        <v>23015495</v>
      </c>
      <c r="F150" s="3">
        <v>-23015495</v>
      </c>
      <c r="G150" s="3">
        <v>0</v>
      </c>
      <c r="H150" s="1" t="s">
        <v>0</v>
      </c>
      <c r="I150" s="1" t="s">
        <v>2</v>
      </c>
      <c r="J150" s="1" t="s">
        <v>666</v>
      </c>
      <c r="K150" s="2"/>
      <c r="L150" s="1">
        <v>47500051</v>
      </c>
      <c r="M150" t="s">
        <v>1287</v>
      </c>
      <c r="N150">
        <v>41750150</v>
      </c>
      <c r="O150" t="s">
        <v>1314</v>
      </c>
    </row>
    <row r="151" spans="1:15" hidden="1" x14ac:dyDescent="0.35">
      <c r="A151" s="1" t="s">
        <v>985</v>
      </c>
      <c r="B151" s="1" t="s">
        <v>4</v>
      </c>
      <c r="C151" s="5" t="s">
        <v>984</v>
      </c>
      <c r="D151" s="2">
        <v>44104</v>
      </c>
      <c r="E151" s="3">
        <v>9166110</v>
      </c>
      <c r="F151" s="3">
        <v>-9166110</v>
      </c>
      <c r="G151" s="3">
        <v>0</v>
      </c>
      <c r="H151" s="1" t="s">
        <v>0</v>
      </c>
      <c r="I151" s="1" t="s">
        <v>2</v>
      </c>
      <c r="J151" s="1" t="s">
        <v>666</v>
      </c>
      <c r="K151" s="2"/>
      <c r="L151" s="1">
        <v>47500051</v>
      </c>
      <c r="M151" t="s">
        <v>1287</v>
      </c>
      <c r="N151">
        <v>41750150</v>
      </c>
      <c r="O151" t="s">
        <v>1314</v>
      </c>
    </row>
    <row r="152" spans="1:15" hidden="1" x14ac:dyDescent="0.35">
      <c r="A152" s="1" t="s">
        <v>983</v>
      </c>
      <c r="B152" s="1" t="s">
        <v>4</v>
      </c>
      <c r="C152" s="1" t="s">
        <v>982</v>
      </c>
      <c r="D152" s="2">
        <v>42005</v>
      </c>
      <c r="E152" s="3">
        <v>110400</v>
      </c>
      <c r="F152" s="3">
        <v>-110400</v>
      </c>
      <c r="G152" s="3">
        <v>0</v>
      </c>
      <c r="H152" s="1" t="s">
        <v>0</v>
      </c>
      <c r="I152" s="1" t="s">
        <v>2</v>
      </c>
      <c r="J152" s="1" t="s">
        <v>355</v>
      </c>
      <c r="K152" s="2"/>
      <c r="L152" s="1">
        <v>47502031</v>
      </c>
      <c r="M152" t="s">
        <v>1279</v>
      </c>
      <c r="N152">
        <v>41750150</v>
      </c>
      <c r="O152" t="s">
        <v>1314</v>
      </c>
    </row>
    <row r="153" spans="1:15" hidden="1" x14ac:dyDescent="0.35">
      <c r="A153" s="1" t="s">
        <v>981</v>
      </c>
      <c r="B153" s="1" t="s">
        <v>4</v>
      </c>
      <c r="C153" s="1" t="s">
        <v>980</v>
      </c>
      <c r="D153" s="2">
        <v>42005</v>
      </c>
      <c r="E153" s="3">
        <v>110400</v>
      </c>
      <c r="F153" s="3">
        <v>-110400</v>
      </c>
      <c r="G153" s="3">
        <v>0</v>
      </c>
      <c r="H153" s="1" t="s">
        <v>0</v>
      </c>
      <c r="I153" s="1" t="s">
        <v>2</v>
      </c>
      <c r="J153" s="1" t="s">
        <v>355</v>
      </c>
      <c r="K153" s="2"/>
      <c r="L153" s="1">
        <v>47567015</v>
      </c>
      <c r="M153" t="s">
        <v>1272</v>
      </c>
      <c r="N153">
        <v>41756150</v>
      </c>
      <c r="O153" t="s">
        <v>1315</v>
      </c>
    </row>
    <row r="154" spans="1:15" hidden="1" x14ac:dyDescent="0.35">
      <c r="A154" s="1" t="s">
        <v>979</v>
      </c>
      <c r="B154" s="1" t="s">
        <v>4</v>
      </c>
      <c r="C154" s="1" t="s">
        <v>978</v>
      </c>
      <c r="D154" s="2">
        <v>42005</v>
      </c>
      <c r="E154" s="3">
        <v>164000</v>
      </c>
      <c r="F154" s="3">
        <v>-164000</v>
      </c>
      <c r="G154" s="3">
        <v>0</v>
      </c>
      <c r="H154" s="1" t="s">
        <v>0</v>
      </c>
      <c r="I154" s="1" t="s">
        <v>2</v>
      </c>
      <c r="J154" s="1" t="s">
        <v>355</v>
      </c>
      <c r="K154" s="2"/>
      <c r="L154" s="1">
        <v>47502031</v>
      </c>
      <c r="M154" t="s">
        <v>1279</v>
      </c>
      <c r="N154">
        <v>41750150</v>
      </c>
      <c r="O154" t="s">
        <v>1314</v>
      </c>
    </row>
    <row r="155" spans="1:15" hidden="1" x14ac:dyDescent="0.35">
      <c r="A155" s="1" t="s">
        <v>977</v>
      </c>
      <c r="B155" s="1" t="s">
        <v>4</v>
      </c>
      <c r="C155" s="1" t="s">
        <v>976</v>
      </c>
      <c r="D155" s="2">
        <v>42005</v>
      </c>
      <c r="E155" s="3">
        <v>164000</v>
      </c>
      <c r="F155" s="3">
        <v>-164000</v>
      </c>
      <c r="G155" s="3">
        <v>0</v>
      </c>
      <c r="H155" s="1" t="s">
        <v>0</v>
      </c>
      <c r="I155" s="1" t="s">
        <v>2</v>
      </c>
      <c r="J155" s="1" t="s">
        <v>355</v>
      </c>
      <c r="K155" s="2"/>
      <c r="L155" s="1">
        <v>47502031</v>
      </c>
      <c r="M155" t="s">
        <v>1279</v>
      </c>
      <c r="N155">
        <v>41750150</v>
      </c>
      <c r="O155" t="s">
        <v>1314</v>
      </c>
    </row>
    <row r="156" spans="1:15" hidden="1" x14ac:dyDescent="0.35">
      <c r="A156" s="1" t="s">
        <v>975</v>
      </c>
      <c r="B156" s="1" t="s">
        <v>4</v>
      </c>
      <c r="C156" s="1" t="s">
        <v>973</v>
      </c>
      <c r="D156" s="2">
        <v>42005</v>
      </c>
      <c r="E156" s="3">
        <v>164000</v>
      </c>
      <c r="F156" s="3">
        <v>-164000</v>
      </c>
      <c r="G156" s="3">
        <v>0</v>
      </c>
      <c r="H156" s="1" t="s">
        <v>0</v>
      </c>
      <c r="I156" s="1" t="s">
        <v>2</v>
      </c>
      <c r="J156" s="1" t="s">
        <v>355</v>
      </c>
      <c r="K156" s="2"/>
      <c r="L156" s="1">
        <v>47502031</v>
      </c>
      <c r="M156" t="s">
        <v>1279</v>
      </c>
      <c r="N156">
        <v>41750150</v>
      </c>
      <c r="O156" t="s">
        <v>1314</v>
      </c>
    </row>
    <row r="157" spans="1:15" hidden="1" x14ac:dyDescent="0.35">
      <c r="A157" s="1" t="s">
        <v>974</v>
      </c>
      <c r="B157" s="1" t="s">
        <v>4</v>
      </c>
      <c r="C157" s="1" t="s">
        <v>973</v>
      </c>
      <c r="D157" s="2">
        <v>42005</v>
      </c>
      <c r="E157" s="3">
        <v>164000</v>
      </c>
      <c r="F157" s="3">
        <v>-164000</v>
      </c>
      <c r="G157" s="3">
        <v>0</v>
      </c>
      <c r="H157" s="1" t="s">
        <v>0</v>
      </c>
      <c r="I157" s="1" t="s">
        <v>2</v>
      </c>
      <c r="J157" s="1" t="s">
        <v>355</v>
      </c>
      <c r="K157" s="2"/>
      <c r="L157" s="1">
        <v>47502031</v>
      </c>
      <c r="M157" t="s">
        <v>1279</v>
      </c>
      <c r="N157">
        <v>41750150</v>
      </c>
      <c r="O157" t="s">
        <v>1314</v>
      </c>
    </row>
    <row r="158" spans="1:15" hidden="1" x14ac:dyDescent="0.35">
      <c r="A158" s="1" t="s">
        <v>972</v>
      </c>
      <c r="B158" s="1" t="s">
        <v>4</v>
      </c>
      <c r="C158" s="1" t="s">
        <v>948</v>
      </c>
      <c r="D158" s="2">
        <v>42005</v>
      </c>
      <c r="E158" s="3">
        <v>164000</v>
      </c>
      <c r="F158" s="3">
        <v>-164000</v>
      </c>
      <c r="G158" s="3">
        <v>0</v>
      </c>
      <c r="H158" s="1" t="s">
        <v>0</v>
      </c>
      <c r="I158" s="1" t="s">
        <v>2</v>
      </c>
      <c r="J158" s="1" t="s">
        <v>355</v>
      </c>
      <c r="K158" s="2"/>
      <c r="L158" s="1">
        <v>47502031</v>
      </c>
      <c r="M158" t="s">
        <v>1279</v>
      </c>
      <c r="N158">
        <v>41750150</v>
      </c>
      <c r="O158" t="s">
        <v>1314</v>
      </c>
    </row>
    <row r="159" spans="1:15" hidden="1" x14ac:dyDescent="0.35">
      <c r="A159" s="1" t="s">
        <v>971</v>
      </c>
      <c r="B159" s="1" t="s">
        <v>4</v>
      </c>
      <c r="C159" s="1" t="s">
        <v>948</v>
      </c>
      <c r="D159" s="2">
        <v>42005</v>
      </c>
      <c r="E159" s="3">
        <v>164000</v>
      </c>
      <c r="F159" s="3">
        <v>-164000</v>
      </c>
      <c r="G159" s="3">
        <v>0</v>
      </c>
      <c r="H159" s="1" t="s">
        <v>0</v>
      </c>
      <c r="I159" s="1" t="s">
        <v>2</v>
      </c>
      <c r="J159" s="1" t="s">
        <v>355</v>
      </c>
      <c r="K159" s="2"/>
      <c r="L159" s="1">
        <v>47502031</v>
      </c>
      <c r="M159" t="s">
        <v>1279</v>
      </c>
      <c r="N159">
        <v>41750150</v>
      </c>
      <c r="O159" t="s">
        <v>1314</v>
      </c>
    </row>
    <row r="160" spans="1:15" hidden="1" x14ac:dyDescent="0.35">
      <c r="A160" s="1" t="s">
        <v>970</v>
      </c>
      <c r="B160" s="1" t="s">
        <v>4</v>
      </c>
      <c r="C160" s="1" t="s">
        <v>948</v>
      </c>
      <c r="D160" s="2">
        <v>42005</v>
      </c>
      <c r="E160" s="3">
        <v>164000</v>
      </c>
      <c r="F160" s="3">
        <v>-164000</v>
      </c>
      <c r="G160" s="3">
        <v>0</v>
      </c>
      <c r="H160" s="1" t="s">
        <v>0</v>
      </c>
      <c r="I160" s="1" t="s">
        <v>2</v>
      </c>
      <c r="J160" s="1" t="s">
        <v>355</v>
      </c>
      <c r="K160" s="2"/>
      <c r="L160" s="1">
        <v>47502031</v>
      </c>
      <c r="M160" t="s">
        <v>1279</v>
      </c>
      <c r="N160">
        <v>41750150</v>
      </c>
      <c r="O160" t="s">
        <v>1314</v>
      </c>
    </row>
    <row r="161" spans="1:19" hidden="1" x14ac:dyDescent="0.35">
      <c r="A161" s="1" t="s">
        <v>969</v>
      </c>
      <c r="B161" s="1" t="s">
        <v>4</v>
      </c>
      <c r="C161" s="1" t="s">
        <v>948</v>
      </c>
      <c r="D161" s="2">
        <v>42005</v>
      </c>
      <c r="E161" s="3">
        <v>164000</v>
      </c>
      <c r="F161" s="3">
        <v>-164000</v>
      </c>
      <c r="G161" s="3">
        <v>0</v>
      </c>
      <c r="H161" s="1" t="s">
        <v>0</v>
      </c>
      <c r="I161" s="1" t="s">
        <v>2</v>
      </c>
      <c r="J161" s="1" t="s">
        <v>355</v>
      </c>
      <c r="K161" s="2"/>
      <c r="L161" s="1">
        <v>47502031</v>
      </c>
      <c r="M161" t="s">
        <v>1279</v>
      </c>
      <c r="N161">
        <v>41750150</v>
      </c>
      <c r="O161" t="s">
        <v>1314</v>
      </c>
    </row>
    <row r="162" spans="1:19" hidden="1" x14ac:dyDescent="0.35">
      <c r="A162" s="1" t="s">
        <v>968</v>
      </c>
      <c r="B162" s="1" t="s">
        <v>4</v>
      </c>
      <c r="C162" s="1" t="s">
        <v>948</v>
      </c>
      <c r="D162" s="2">
        <v>42005</v>
      </c>
      <c r="E162" s="3">
        <v>164000</v>
      </c>
      <c r="F162" s="3">
        <v>-164000</v>
      </c>
      <c r="G162" s="3">
        <v>0</v>
      </c>
      <c r="H162" s="1" t="s">
        <v>0</v>
      </c>
      <c r="I162" s="1" t="s">
        <v>2</v>
      </c>
      <c r="J162" s="1" t="s">
        <v>355</v>
      </c>
      <c r="K162" s="2"/>
      <c r="L162" s="1">
        <v>47502031</v>
      </c>
      <c r="M162" t="s">
        <v>1279</v>
      </c>
      <c r="N162">
        <v>41750150</v>
      </c>
      <c r="O162" t="s">
        <v>1314</v>
      </c>
    </row>
    <row r="163" spans="1:19" hidden="1" x14ac:dyDescent="0.35">
      <c r="A163" s="1" t="s">
        <v>967</v>
      </c>
      <c r="B163" s="1" t="s">
        <v>4</v>
      </c>
      <c r="C163" s="1" t="s">
        <v>948</v>
      </c>
      <c r="D163" s="2">
        <v>42005</v>
      </c>
      <c r="E163" s="3">
        <v>164000</v>
      </c>
      <c r="F163" s="3">
        <v>-164000</v>
      </c>
      <c r="G163" s="3">
        <v>0</v>
      </c>
      <c r="H163" s="1" t="s">
        <v>0</v>
      </c>
      <c r="I163" s="1" t="s">
        <v>2</v>
      </c>
      <c r="J163" s="1" t="s">
        <v>355</v>
      </c>
      <c r="K163" s="2"/>
      <c r="L163" s="1">
        <v>47502031</v>
      </c>
      <c r="M163" t="s">
        <v>1279</v>
      </c>
      <c r="N163">
        <v>41750150</v>
      </c>
      <c r="O163" t="s">
        <v>1314</v>
      </c>
    </row>
    <row r="164" spans="1:19" x14ac:dyDescent="0.35">
      <c r="A164" s="1" t="s">
        <v>966</v>
      </c>
      <c r="B164" s="1" t="s">
        <v>4</v>
      </c>
      <c r="C164" s="1" t="s">
        <v>965</v>
      </c>
      <c r="D164" s="2">
        <v>42005</v>
      </c>
      <c r="E164" s="3">
        <v>190000</v>
      </c>
      <c r="F164" s="3">
        <v>-190000</v>
      </c>
      <c r="G164" s="3">
        <v>0</v>
      </c>
      <c r="H164" s="1" t="s">
        <v>0</v>
      </c>
      <c r="I164" s="1" t="s">
        <v>2</v>
      </c>
      <c r="J164" s="1" t="s">
        <v>24</v>
      </c>
      <c r="K164" s="2"/>
      <c r="L164" s="14">
        <v>47544032</v>
      </c>
      <c r="M164" t="s">
        <v>1277</v>
      </c>
      <c r="N164" s="12">
        <v>41754150</v>
      </c>
      <c r="O164" t="s">
        <v>1359</v>
      </c>
      <c r="S164" t="s">
        <v>1362</v>
      </c>
    </row>
    <row r="165" spans="1:19" x14ac:dyDescent="0.35">
      <c r="A165" s="1" t="s">
        <v>964</v>
      </c>
      <c r="B165" s="1" t="s">
        <v>4</v>
      </c>
      <c r="C165" s="1" t="s">
        <v>963</v>
      </c>
      <c r="D165" s="2">
        <v>42005</v>
      </c>
      <c r="E165" s="3">
        <v>190000</v>
      </c>
      <c r="F165" s="3">
        <v>-190000</v>
      </c>
      <c r="G165" s="3">
        <v>0</v>
      </c>
      <c r="H165" s="1" t="s">
        <v>0</v>
      </c>
      <c r="I165" s="1" t="s">
        <v>2</v>
      </c>
      <c r="J165" s="1" t="s">
        <v>24</v>
      </c>
      <c r="K165" s="2"/>
      <c r="L165" s="14">
        <v>47544032</v>
      </c>
      <c r="M165" t="s">
        <v>1277</v>
      </c>
      <c r="N165" s="12">
        <v>41754150</v>
      </c>
      <c r="O165" t="s">
        <v>1359</v>
      </c>
      <c r="S165" t="s">
        <v>1362</v>
      </c>
    </row>
    <row r="166" spans="1:19" hidden="1" x14ac:dyDescent="0.35">
      <c r="A166" s="1" t="s">
        <v>962</v>
      </c>
      <c r="B166" s="1" t="s">
        <v>4</v>
      </c>
      <c r="C166" s="1" t="s">
        <v>960</v>
      </c>
      <c r="D166" s="2">
        <v>42005</v>
      </c>
      <c r="E166" s="3">
        <v>200000</v>
      </c>
      <c r="F166" s="3">
        <v>-200000</v>
      </c>
      <c r="G166" s="3">
        <v>0</v>
      </c>
      <c r="H166" s="1" t="s">
        <v>0</v>
      </c>
      <c r="I166" s="1" t="s">
        <v>2</v>
      </c>
      <c r="J166" s="1" t="s">
        <v>355</v>
      </c>
      <c r="K166" s="2"/>
      <c r="L166" s="1">
        <v>47502031</v>
      </c>
      <c r="M166" t="s">
        <v>1279</v>
      </c>
      <c r="N166">
        <v>41750150</v>
      </c>
      <c r="O166" t="s">
        <v>1314</v>
      </c>
    </row>
    <row r="167" spans="1:19" hidden="1" x14ac:dyDescent="0.35">
      <c r="A167" s="1" t="s">
        <v>961</v>
      </c>
      <c r="B167" s="1" t="s">
        <v>4</v>
      </c>
      <c r="C167" s="1" t="s">
        <v>960</v>
      </c>
      <c r="D167" s="2">
        <v>42005</v>
      </c>
      <c r="E167" s="3">
        <v>200000</v>
      </c>
      <c r="F167" s="3">
        <v>-200000</v>
      </c>
      <c r="G167" s="3">
        <v>0</v>
      </c>
      <c r="H167" s="1" t="s">
        <v>0</v>
      </c>
      <c r="I167" s="1" t="s">
        <v>2</v>
      </c>
      <c r="J167" s="1" t="s">
        <v>355</v>
      </c>
      <c r="K167" s="2"/>
      <c r="L167" s="1">
        <v>47502031</v>
      </c>
      <c r="M167" t="s">
        <v>1279</v>
      </c>
      <c r="N167">
        <v>41750150</v>
      </c>
      <c r="O167" t="s">
        <v>1314</v>
      </c>
    </row>
    <row r="168" spans="1:19" hidden="1" x14ac:dyDescent="0.35">
      <c r="A168" s="1" t="s">
        <v>959</v>
      </c>
      <c r="B168" s="1" t="s">
        <v>4</v>
      </c>
      <c r="C168" s="1" t="s">
        <v>958</v>
      </c>
      <c r="D168" s="2">
        <v>42005</v>
      </c>
      <c r="E168" s="3">
        <v>240000</v>
      </c>
      <c r="F168" s="3">
        <v>-240000</v>
      </c>
      <c r="G168" s="3">
        <v>0</v>
      </c>
      <c r="H168" s="1" t="s">
        <v>0</v>
      </c>
      <c r="I168" s="1" t="s">
        <v>2</v>
      </c>
      <c r="J168" s="1" t="s">
        <v>355</v>
      </c>
      <c r="K168" s="2"/>
      <c r="L168" s="1">
        <v>47567015</v>
      </c>
      <c r="M168" t="s">
        <v>1272</v>
      </c>
      <c r="N168">
        <v>41756150</v>
      </c>
      <c r="O168" t="s">
        <v>1315</v>
      </c>
    </row>
    <row r="169" spans="1:19" hidden="1" x14ac:dyDescent="0.35">
      <c r="A169" s="1" t="s">
        <v>957</v>
      </c>
      <c r="B169" s="1" t="s">
        <v>4</v>
      </c>
      <c r="C169" s="1" t="s">
        <v>908</v>
      </c>
      <c r="D169" s="2">
        <v>42005</v>
      </c>
      <c r="E169" s="3">
        <v>240000</v>
      </c>
      <c r="F169" s="3">
        <v>-240000</v>
      </c>
      <c r="G169" s="3">
        <v>0</v>
      </c>
      <c r="H169" s="1" t="s">
        <v>0</v>
      </c>
      <c r="I169" s="1" t="s">
        <v>2</v>
      </c>
      <c r="J169" s="1" t="s">
        <v>355</v>
      </c>
      <c r="K169" s="2"/>
      <c r="L169" s="1">
        <v>47567015</v>
      </c>
      <c r="M169" t="s">
        <v>1272</v>
      </c>
      <c r="N169">
        <v>41756150</v>
      </c>
      <c r="O169" t="s">
        <v>1315</v>
      </c>
    </row>
    <row r="170" spans="1:19" hidden="1" x14ac:dyDescent="0.35">
      <c r="A170" s="1" t="s">
        <v>956</v>
      </c>
      <c r="B170" s="1" t="s">
        <v>4</v>
      </c>
      <c r="C170" s="1" t="s">
        <v>953</v>
      </c>
      <c r="D170" s="2">
        <v>42005</v>
      </c>
      <c r="E170" s="3">
        <v>240000</v>
      </c>
      <c r="F170" s="3">
        <v>-240000</v>
      </c>
      <c r="G170" s="3">
        <v>0</v>
      </c>
      <c r="H170" s="1" t="s">
        <v>0</v>
      </c>
      <c r="I170" s="1" t="s">
        <v>2</v>
      </c>
      <c r="J170" s="1" t="s">
        <v>355</v>
      </c>
      <c r="K170" s="2"/>
      <c r="L170" s="1">
        <v>47567015</v>
      </c>
      <c r="M170" t="s">
        <v>1272</v>
      </c>
      <c r="N170">
        <v>41756150</v>
      </c>
      <c r="O170" t="s">
        <v>1315</v>
      </c>
    </row>
    <row r="171" spans="1:19" hidden="1" x14ac:dyDescent="0.35">
      <c r="A171" s="1" t="s">
        <v>955</v>
      </c>
      <c r="B171" s="1" t="s">
        <v>4</v>
      </c>
      <c r="C171" s="1" t="s">
        <v>953</v>
      </c>
      <c r="D171" s="2">
        <v>42005</v>
      </c>
      <c r="E171" s="3">
        <v>240000</v>
      </c>
      <c r="F171" s="3">
        <v>-240000</v>
      </c>
      <c r="G171" s="3">
        <v>0</v>
      </c>
      <c r="H171" s="1" t="s">
        <v>0</v>
      </c>
      <c r="I171" s="1" t="s">
        <v>2</v>
      </c>
      <c r="J171" s="1" t="s">
        <v>355</v>
      </c>
      <c r="K171" s="2"/>
      <c r="L171" s="1">
        <v>47567015</v>
      </c>
      <c r="M171" t="s">
        <v>1272</v>
      </c>
      <c r="N171">
        <v>41756150</v>
      </c>
      <c r="O171" t="s">
        <v>1315</v>
      </c>
    </row>
    <row r="172" spans="1:19" hidden="1" x14ac:dyDescent="0.35">
      <c r="A172" s="1" t="s">
        <v>954</v>
      </c>
      <c r="B172" s="1" t="s">
        <v>4</v>
      </c>
      <c r="C172" s="1" t="s">
        <v>953</v>
      </c>
      <c r="D172" s="2">
        <v>42005</v>
      </c>
      <c r="E172" s="3">
        <v>240000</v>
      </c>
      <c r="F172" s="3">
        <v>-240000</v>
      </c>
      <c r="G172" s="3">
        <v>0</v>
      </c>
      <c r="H172" s="1" t="s">
        <v>0</v>
      </c>
      <c r="I172" s="1" t="s">
        <v>2</v>
      </c>
      <c r="J172" s="1" t="s">
        <v>355</v>
      </c>
      <c r="K172" s="2"/>
      <c r="L172" s="1">
        <v>47567015</v>
      </c>
      <c r="M172" t="s">
        <v>1272</v>
      </c>
      <c r="N172">
        <v>41756150</v>
      </c>
      <c r="O172" t="s">
        <v>1315</v>
      </c>
    </row>
    <row r="173" spans="1:19" hidden="1" x14ac:dyDescent="0.35">
      <c r="A173" s="1" t="s">
        <v>952</v>
      </c>
      <c r="B173" s="1" t="s">
        <v>4</v>
      </c>
      <c r="C173" s="1" t="s">
        <v>939</v>
      </c>
      <c r="D173" s="2">
        <v>42005</v>
      </c>
      <c r="E173" s="3">
        <v>240000</v>
      </c>
      <c r="F173" s="3">
        <v>-240000</v>
      </c>
      <c r="G173" s="3">
        <v>0</v>
      </c>
      <c r="H173" s="1" t="s">
        <v>0</v>
      </c>
      <c r="I173" s="1" t="s">
        <v>2</v>
      </c>
      <c r="J173" s="1" t="s">
        <v>355</v>
      </c>
      <c r="K173" s="2"/>
      <c r="L173" s="1">
        <v>47567015</v>
      </c>
      <c r="M173" t="s">
        <v>1272</v>
      </c>
      <c r="N173">
        <v>41756150</v>
      </c>
      <c r="O173" t="s">
        <v>1315</v>
      </c>
    </row>
    <row r="174" spans="1:19" hidden="1" x14ac:dyDescent="0.35">
      <c r="A174" s="1" t="s">
        <v>951</v>
      </c>
      <c r="B174" s="1" t="s">
        <v>4</v>
      </c>
      <c r="C174" s="1" t="s">
        <v>912</v>
      </c>
      <c r="D174" s="2">
        <v>42005</v>
      </c>
      <c r="E174" s="3">
        <v>240000</v>
      </c>
      <c r="F174" s="3">
        <v>-240000</v>
      </c>
      <c r="G174" s="3">
        <v>0</v>
      </c>
      <c r="H174" s="1" t="s">
        <v>0</v>
      </c>
      <c r="I174" s="1" t="s">
        <v>2</v>
      </c>
      <c r="J174" s="1" t="s">
        <v>355</v>
      </c>
      <c r="K174" s="2"/>
      <c r="L174" s="1">
        <v>47567015</v>
      </c>
      <c r="M174" t="s">
        <v>1272</v>
      </c>
      <c r="N174">
        <v>41756150</v>
      </c>
      <c r="O174" t="s">
        <v>1315</v>
      </c>
    </row>
    <row r="175" spans="1:19" hidden="1" x14ac:dyDescent="0.35">
      <c r="A175" s="1" t="s">
        <v>950</v>
      </c>
      <c r="B175" s="1" t="s">
        <v>4</v>
      </c>
      <c r="C175" s="1" t="s">
        <v>939</v>
      </c>
      <c r="D175" s="2">
        <v>42005</v>
      </c>
      <c r="E175" s="3">
        <v>240000</v>
      </c>
      <c r="F175" s="3">
        <v>-240000</v>
      </c>
      <c r="G175" s="3">
        <v>0</v>
      </c>
      <c r="H175" s="1" t="s">
        <v>0</v>
      </c>
      <c r="I175" s="1" t="s">
        <v>2</v>
      </c>
      <c r="J175" s="1" t="s">
        <v>355</v>
      </c>
      <c r="K175" s="2"/>
      <c r="L175" s="1">
        <v>47567015</v>
      </c>
      <c r="M175" t="s">
        <v>1272</v>
      </c>
      <c r="N175">
        <v>41756150</v>
      </c>
      <c r="O175" t="s">
        <v>1315</v>
      </c>
    </row>
    <row r="176" spans="1:19" hidden="1" x14ac:dyDescent="0.35">
      <c r="A176" s="1" t="s">
        <v>949</v>
      </c>
      <c r="B176" s="1" t="s">
        <v>4</v>
      </c>
      <c r="C176" s="1" t="s">
        <v>948</v>
      </c>
      <c r="D176" s="2">
        <v>42005</v>
      </c>
      <c r="E176" s="3">
        <v>240000</v>
      </c>
      <c r="F176" s="3">
        <v>-240000</v>
      </c>
      <c r="G176" s="3">
        <v>0</v>
      </c>
      <c r="H176" s="1" t="s">
        <v>0</v>
      </c>
      <c r="I176" s="1" t="s">
        <v>2</v>
      </c>
      <c r="J176" s="1" t="s">
        <v>355</v>
      </c>
      <c r="K176" s="2"/>
      <c r="L176" s="1">
        <v>47567015</v>
      </c>
      <c r="M176" t="s">
        <v>1272</v>
      </c>
      <c r="N176">
        <v>41756150</v>
      </c>
      <c r="O176" t="s">
        <v>1315</v>
      </c>
    </row>
    <row r="177" spans="1:15" hidden="1" x14ac:dyDescent="0.35">
      <c r="A177" s="1" t="s">
        <v>947</v>
      </c>
      <c r="B177" s="1" t="s">
        <v>4</v>
      </c>
      <c r="C177" s="1" t="s">
        <v>939</v>
      </c>
      <c r="D177" s="2">
        <v>42005</v>
      </c>
      <c r="E177" s="3">
        <v>240000</v>
      </c>
      <c r="F177" s="3">
        <v>-240000</v>
      </c>
      <c r="G177" s="3">
        <v>0</v>
      </c>
      <c r="H177" s="1" t="s">
        <v>0</v>
      </c>
      <c r="I177" s="1" t="s">
        <v>2</v>
      </c>
      <c r="J177" s="1" t="s">
        <v>355</v>
      </c>
      <c r="K177" s="2"/>
      <c r="L177" s="1">
        <v>47567015</v>
      </c>
      <c r="M177" t="s">
        <v>1272</v>
      </c>
      <c r="N177">
        <v>41756150</v>
      </c>
      <c r="O177" t="s">
        <v>1315</v>
      </c>
    </row>
    <row r="178" spans="1:15" hidden="1" x14ac:dyDescent="0.35">
      <c r="A178" s="1" t="s">
        <v>946</v>
      </c>
      <c r="B178" s="1" t="s">
        <v>4</v>
      </c>
      <c r="C178" s="1" t="s">
        <v>939</v>
      </c>
      <c r="D178" s="2">
        <v>42005</v>
      </c>
      <c r="E178" s="3">
        <v>240000</v>
      </c>
      <c r="F178" s="3">
        <v>-240000</v>
      </c>
      <c r="G178" s="3">
        <v>0</v>
      </c>
      <c r="H178" s="1" t="s">
        <v>0</v>
      </c>
      <c r="I178" s="1" t="s">
        <v>2</v>
      </c>
      <c r="J178" s="1" t="s">
        <v>355</v>
      </c>
      <c r="K178" s="2"/>
      <c r="L178" s="1">
        <v>47567015</v>
      </c>
      <c r="M178" t="s">
        <v>1272</v>
      </c>
      <c r="N178">
        <v>41756150</v>
      </c>
      <c r="O178" t="s">
        <v>1315</v>
      </c>
    </row>
    <row r="179" spans="1:15" hidden="1" x14ac:dyDescent="0.35">
      <c r="A179" s="1" t="s">
        <v>945</v>
      </c>
      <c r="B179" s="1" t="s">
        <v>4</v>
      </c>
      <c r="C179" s="1" t="s">
        <v>939</v>
      </c>
      <c r="D179" s="2">
        <v>42005</v>
      </c>
      <c r="E179" s="3">
        <v>240000</v>
      </c>
      <c r="F179" s="3">
        <v>-240000</v>
      </c>
      <c r="G179" s="3">
        <v>0</v>
      </c>
      <c r="H179" s="1" t="s">
        <v>0</v>
      </c>
      <c r="I179" s="1" t="s">
        <v>2</v>
      </c>
      <c r="J179" s="1" t="s">
        <v>355</v>
      </c>
      <c r="K179" s="2"/>
      <c r="L179" s="1">
        <v>47567015</v>
      </c>
      <c r="M179" t="s">
        <v>1272</v>
      </c>
      <c r="N179">
        <v>41756150</v>
      </c>
      <c r="O179" t="s">
        <v>1315</v>
      </c>
    </row>
    <row r="180" spans="1:15" hidden="1" x14ac:dyDescent="0.35">
      <c r="A180" s="1" t="s">
        <v>944</v>
      </c>
      <c r="B180" s="1" t="s">
        <v>4</v>
      </c>
      <c r="C180" s="1" t="s">
        <v>943</v>
      </c>
      <c r="D180" s="2">
        <v>42005</v>
      </c>
      <c r="E180" s="3">
        <v>240000</v>
      </c>
      <c r="F180" s="3">
        <v>-240000</v>
      </c>
      <c r="G180" s="3">
        <v>0</v>
      </c>
      <c r="H180" s="1" t="s">
        <v>0</v>
      </c>
      <c r="I180" s="1" t="s">
        <v>2</v>
      </c>
      <c r="J180" s="1" t="s">
        <v>355</v>
      </c>
      <c r="K180" s="2"/>
      <c r="L180" s="1">
        <v>47567015</v>
      </c>
      <c r="M180" t="s">
        <v>1272</v>
      </c>
      <c r="N180">
        <v>41756150</v>
      </c>
      <c r="O180" t="s">
        <v>1315</v>
      </c>
    </row>
    <row r="181" spans="1:15" hidden="1" x14ac:dyDescent="0.35">
      <c r="A181" s="1" t="s">
        <v>942</v>
      </c>
      <c r="B181" s="1" t="s">
        <v>4</v>
      </c>
      <c r="C181" s="1" t="s">
        <v>939</v>
      </c>
      <c r="D181" s="2">
        <v>42005</v>
      </c>
      <c r="E181" s="3">
        <v>240000</v>
      </c>
      <c r="F181" s="3">
        <v>-240000</v>
      </c>
      <c r="G181" s="3">
        <v>0</v>
      </c>
      <c r="H181" s="1" t="s">
        <v>0</v>
      </c>
      <c r="I181" s="1" t="s">
        <v>2</v>
      </c>
      <c r="J181" s="1" t="s">
        <v>355</v>
      </c>
      <c r="K181" s="2"/>
      <c r="L181" s="1">
        <v>47567015</v>
      </c>
      <c r="M181" t="s">
        <v>1272</v>
      </c>
      <c r="N181">
        <v>41756150</v>
      </c>
      <c r="O181" t="s">
        <v>1315</v>
      </c>
    </row>
    <row r="182" spans="1:15" hidden="1" x14ac:dyDescent="0.35">
      <c r="A182" s="1" t="s">
        <v>941</v>
      </c>
      <c r="B182" s="1" t="s">
        <v>4</v>
      </c>
      <c r="C182" s="1" t="s">
        <v>939</v>
      </c>
      <c r="D182" s="2">
        <v>42005</v>
      </c>
      <c r="E182" s="3">
        <v>240000</v>
      </c>
      <c r="F182" s="3">
        <v>-240000</v>
      </c>
      <c r="G182" s="3">
        <v>0</v>
      </c>
      <c r="H182" s="1" t="s">
        <v>0</v>
      </c>
      <c r="I182" s="1" t="s">
        <v>2</v>
      </c>
      <c r="J182" s="1" t="s">
        <v>355</v>
      </c>
      <c r="K182" s="2"/>
      <c r="L182" s="1">
        <v>47567015</v>
      </c>
      <c r="M182" t="s">
        <v>1272</v>
      </c>
      <c r="N182">
        <v>41756150</v>
      </c>
      <c r="O182" t="s">
        <v>1315</v>
      </c>
    </row>
    <row r="183" spans="1:15" hidden="1" x14ac:dyDescent="0.35">
      <c r="A183" s="1" t="s">
        <v>940</v>
      </c>
      <c r="B183" s="1" t="s">
        <v>4</v>
      </c>
      <c r="C183" s="1" t="s">
        <v>939</v>
      </c>
      <c r="D183" s="2">
        <v>42005</v>
      </c>
      <c r="E183" s="3">
        <v>240000</v>
      </c>
      <c r="F183" s="3">
        <v>-240000</v>
      </c>
      <c r="G183" s="3">
        <v>0</v>
      </c>
      <c r="H183" s="1" t="s">
        <v>0</v>
      </c>
      <c r="I183" s="1" t="s">
        <v>2</v>
      </c>
      <c r="J183" s="1" t="s">
        <v>355</v>
      </c>
      <c r="K183" s="2"/>
      <c r="L183" s="1">
        <v>47567015</v>
      </c>
      <c r="M183" t="s">
        <v>1272</v>
      </c>
      <c r="N183">
        <v>41756150</v>
      </c>
      <c r="O183" t="s">
        <v>1315</v>
      </c>
    </row>
    <row r="184" spans="1:15" hidden="1" x14ac:dyDescent="0.35">
      <c r="A184" s="1" t="s">
        <v>938</v>
      </c>
      <c r="B184" s="1" t="s">
        <v>4</v>
      </c>
      <c r="C184" s="1" t="s">
        <v>937</v>
      </c>
      <c r="D184" s="2">
        <v>42005</v>
      </c>
      <c r="E184" s="3">
        <v>256000</v>
      </c>
      <c r="F184" s="3">
        <v>-256000</v>
      </c>
      <c r="G184" s="3">
        <v>0</v>
      </c>
      <c r="H184" s="1" t="s">
        <v>0</v>
      </c>
      <c r="I184" s="1" t="s">
        <v>2</v>
      </c>
      <c r="J184" s="1" t="s">
        <v>355</v>
      </c>
      <c r="K184" s="2"/>
      <c r="L184" s="1">
        <v>47567015</v>
      </c>
      <c r="M184" t="s">
        <v>1272</v>
      </c>
      <c r="N184">
        <v>41756150</v>
      </c>
      <c r="O184" t="s">
        <v>1315</v>
      </c>
    </row>
    <row r="185" spans="1:15" hidden="1" x14ac:dyDescent="0.35">
      <c r="A185" s="1" t="s">
        <v>936</v>
      </c>
      <c r="B185" s="1" t="s">
        <v>4</v>
      </c>
      <c r="C185" s="1" t="s">
        <v>934</v>
      </c>
      <c r="D185" s="2">
        <v>42005</v>
      </c>
      <c r="E185" s="3">
        <v>268000</v>
      </c>
      <c r="F185" s="3">
        <v>-268000</v>
      </c>
      <c r="G185" s="3">
        <v>0</v>
      </c>
      <c r="H185" s="1" t="s">
        <v>0</v>
      </c>
      <c r="I185" s="1" t="s">
        <v>2</v>
      </c>
      <c r="J185" s="1" t="s">
        <v>355</v>
      </c>
      <c r="K185" s="2"/>
      <c r="L185" s="1">
        <v>47567015</v>
      </c>
      <c r="M185" t="s">
        <v>1272</v>
      </c>
      <c r="N185">
        <v>41756150</v>
      </c>
      <c r="O185" t="s">
        <v>1315</v>
      </c>
    </row>
    <row r="186" spans="1:15" hidden="1" x14ac:dyDescent="0.35">
      <c r="A186" s="1" t="s">
        <v>935</v>
      </c>
      <c r="B186" s="1" t="s">
        <v>4</v>
      </c>
      <c r="C186" s="1" t="s">
        <v>934</v>
      </c>
      <c r="D186" s="2">
        <v>42005</v>
      </c>
      <c r="E186" s="3">
        <v>268000</v>
      </c>
      <c r="F186" s="3">
        <v>-268000</v>
      </c>
      <c r="G186" s="3">
        <v>0</v>
      </c>
      <c r="H186" s="1" t="s">
        <v>0</v>
      </c>
      <c r="I186" s="1" t="s">
        <v>2</v>
      </c>
      <c r="J186" s="1" t="s">
        <v>355</v>
      </c>
      <c r="K186" s="2"/>
      <c r="L186" s="1">
        <v>47567015</v>
      </c>
      <c r="M186" t="s">
        <v>1272</v>
      </c>
      <c r="N186">
        <v>41756150</v>
      </c>
      <c r="O186" t="s">
        <v>1315</v>
      </c>
    </row>
    <row r="187" spans="1:15" hidden="1" x14ac:dyDescent="0.35">
      <c r="A187" s="1" t="s">
        <v>933</v>
      </c>
      <c r="B187" s="1" t="s">
        <v>4</v>
      </c>
      <c r="C187" s="1" t="s">
        <v>932</v>
      </c>
      <c r="D187" s="2">
        <v>42005</v>
      </c>
      <c r="E187" s="3">
        <v>280000</v>
      </c>
      <c r="F187" s="3">
        <v>-280000</v>
      </c>
      <c r="G187" s="3">
        <v>0</v>
      </c>
      <c r="H187" s="1" t="s">
        <v>0</v>
      </c>
      <c r="I187" s="1" t="s">
        <v>2</v>
      </c>
      <c r="J187" s="1" t="s">
        <v>355</v>
      </c>
      <c r="K187" s="2"/>
      <c r="L187" s="1">
        <v>47567015</v>
      </c>
      <c r="M187" t="s">
        <v>1272</v>
      </c>
      <c r="N187">
        <v>41756150</v>
      </c>
      <c r="O187" t="s">
        <v>1315</v>
      </c>
    </row>
    <row r="188" spans="1:15" hidden="1" x14ac:dyDescent="0.35">
      <c r="A188" s="1" t="s">
        <v>931</v>
      </c>
      <c r="B188" s="1" t="s">
        <v>4</v>
      </c>
      <c r="C188" s="1" t="s">
        <v>930</v>
      </c>
      <c r="D188" s="2">
        <v>42005</v>
      </c>
      <c r="E188" s="3">
        <v>280000</v>
      </c>
      <c r="F188" s="3">
        <v>-280000</v>
      </c>
      <c r="G188" s="3">
        <v>0</v>
      </c>
      <c r="H188" s="1" t="s">
        <v>0</v>
      </c>
      <c r="I188" s="1" t="s">
        <v>2</v>
      </c>
      <c r="J188" s="1" t="s">
        <v>355</v>
      </c>
      <c r="K188" s="2"/>
      <c r="L188" s="1">
        <v>47567015</v>
      </c>
      <c r="M188" t="s">
        <v>1272</v>
      </c>
      <c r="N188">
        <v>41756150</v>
      </c>
      <c r="O188" t="s">
        <v>1315</v>
      </c>
    </row>
    <row r="189" spans="1:15" hidden="1" x14ac:dyDescent="0.35">
      <c r="A189" s="1" t="s">
        <v>929</v>
      </c>
      <c r="B189" s="1" t="s">
        <v>4</v>
      </c>
      <c r="C189" s="1" t="s">
        <v>920</v>
      </c>
      <c r="D189" s="2">
        <v>42005</v>
      </c>
      <c r="E189" s="3">
        <v>280000</v>
      </c>
      <c r="F189" s="3">
        <v>-280000</v>
      </c>
      <c r="G189" s="3">
        <v>0</v>
      </c>
      <c r="H189" s="1" t="s">
        <v>0</v>
      </c>
      <c r="I189" s="1" t="s">
        <v>2</v>
      </c>
      <c r="J189" s="1" t="s">
        <v>355</v>
      </c>
      <c r="K189" s="2"/>
      <c r="L189" s="1">
        <v>47567015</v>
      </c>
      <c r="M189" t="s">
        <v>1272</v>
      </c>
      <c r="N189">
        <v>41756150</v>
      </c>
      <c r="O189" t="s">
        <v>1315</v>
      </c>
    </row>
    <row r="190" spans="1:15" hidden="1" x14ac:dyDescent="0.35">
      <c r="A190" s="1" t="s">
        <v>928</v>
      </c>
      <c r="B190" s="1" t="s">
        <v>4</v>
      </c>
      <c r="C190" s="1" t="s">
        <v>927</v>
      </c>
      <c r="D190" s="2">
        <v>42005</v>
      </c>
      <c r="E190" s="3">
        <v>280000</v>
      </c>
      <c r="F190" s="3">
        <v>-280000</v>
      </c>
      <c r="G190" s="3">
        <v>0</v>
      </c>
      <c r="H190" s="1" t="s">
        <v>0</v>
      </c>
      <c r="I190" s="1" t="s">
        <v>2</v>
      </c>
      <c r="J190" s="1" t="s">
        <v>355</v>
      </c>
      <c r="K190" s="2"/>
      <c r="L190" s="1">
        <v>47567015</v>
      </c>
      <c r="M190" t="s">
        <v>1272</v>
      </c>
      <c r="N190">
        <v>41756150</v>
      </c>
      <c r="O190" t="s">
        <v>1315</v>
      </c>
    </row>
    <row r="191" spans="1:15" hidden="1" x14ac:dyDescent="0.35">
      <c r="A191" s="1" t="s">
        <v>926</v>
      </c>
      <c r="B191" s="1" t="s">
        <v>4</v>
      </c>
      <c r="C191" s="1" t="s">
        <v>925</v>
      </c>
      <c r="D191" s="2">
        <v>42005</v>
      </c>
      <c r="E191" s="3">
        <v>304000</v>
      </c>
      <c r="F191" s="3">
        <v>-304000</v>
      </c>
      <c r="G191" s="3">
        <v>0</v>
      </c>
      <c r="H191" s="1" t="s">
        <v>0</v>
      </c>
      <c r="I191" s="1" t="s">
        <v>2</v>
      </c>
      <c r="J191" s="1" t="s">
        <v>355</v>
      </c>
      <c r="K191" s="2"/>
      <c r="L191" s="1">
        <v>47502031</v>
      </c>
      <c r="M191" t="s">
        <v>1279</v>
      </c>
      <c r="N191">
        <v>41750150</v>
      </c>
      <c r="O191" t="s">
        <v>1314</v>
      </c>
    </row>
    <row r="192" spans="1:15" x14ac:dyDescent="0.35">
      <c r="A192" s="1" t="s">
        <v>924</v>
      </c>
      <c r="B192" s="1" t="s">
        <v>4</v>
      </c>
      <c r="C192" s="1" t="s">
        <v>923</v>
      </c>
      <c r="D192" s="2">
        <v>42005</v>
      </c>
      <c r="E192" s="3">
        <v>450000</v>
      </c>
      <c r="F192" s="3">
        <v>-450000</v>
      </c>
      <c r="G192" s="3">
        <v>0</v>
      </c>
      <c r="H192" s="1" t="s">
        <v>0</v>
      </c>
      <c r="I192" s="1" t="s">
        <v>2</v>
      </c>
      <c r="J192" s="1" t="s">
        <v>76</v>
      </c>
      <c r="K192" s="2"/>
      <c r="L192" s="14">
        <v>47544023</v>
      </c>
      <c r="M192" t="s">
        <v>1288</v>
      </c>
      <c r="N192" s="12">
        <v>41754150</v>
      </c>
      <c r="O192" t="s">
        <v>1359</v>
      </c>
    </row>
    <row r="193" spans="1:15" hidden="1" x14ac:dyDescent="0.35">
      <c r="A193" s="1" t="s">
        <v>922</v>
      </c>
      <c r="B193" s="1" t="s">
        <v>4</v>
      </c>
      <c r="C193" s="1" t="s">
        <v>920</v>
      </c>
      <c r="D193" s="2">
        <v>42005</v>
      </c>
      <c r="E193" s="3">
        <v>328000</v>
      </c>
      <c r="F193" s="3">
        <v>-328000</v>
      </c>
      <c r="G193" s="3">
        <v>0</v>
      </c>
      <c r="H193" s="1" t="s">
        <v>0</v>
      </c>
      <c r="I193" s="1" t="s">
        <v>2</v>
      </c>
      <c r="J193" s="1" t="s">
        <v>355</v>
      </c>
      <c r="K193" s="2"/>
      <c r="L193" s="1">
        <v>47502031</v>
      </c>
      <c r="M193" t="s">
        <v>1279</v>
      </c>
      <c r="N193">
        <v>41750150</v>
      </c>
      <c r="O193" t="s">
        <v>1314</v>
      </c>
    </row>
    <row r="194" spans="1:15" hidden="1" x14ac:dyDescent="0.35">
      <c r="A194" s="1" t="s">
        <v>921</v>
      </c>
      <c r="B194" s="1" t="s">
        <v>4</v>
      </c>
      <c r="C194" s="1" t="s">
        <v>920</v>
      </c>
      <c r="D194" s="2">
        <v>42005</v>
      </c>
      <c r="E194" s="3">
        <v>328000</v>
      </c>
      <c r="F194" s="3">
        <v>-328000</v>
      </c>
      <c r="G194" s="3">
        <v>0</v>
      </c>
      <c r="H194" s="1" t="s">
        <v>0</v>
      </c>
      <c r="I194" s="1" t="s">
        <v>2</v>
      </c>
      <c r="J194" s="1" t="s">
        <v>355</v>
      </c>
      <c r="K194" s="2"/>
      <c r="L194" s="1">
        <v>47502031</v>
      </c>
      <c r="M194" t="s">
        <v>1279</v>
      </c>
      <c r="N194">
        <v>41750150</v>
      </c>
      <c r="O194" t="s">
        <v>1314</v>
      </c>
    </row>
    <row r="195" spans="1:15" hidden="1" x14ac:dyDescent="0.35">
      <c r="A195" s="1" t="s">
        <v>919</v>
      </c>
      <c r="B195" s="1" t="s">
        <v>4</v>
      </c>
      <c r="C195" s="1" t="s">
        <v>918</v>
      </c>
      <c r="D195" s="2">
        <v>42005</v>
      </c>
      <c r="E195" s="3">
        <v>335000</v>
      </c>
      <c r="F195" s="3">
        <v>-335000</v>
      </c>
      <c r="G195" s="3">
        <v>0</v>
      </c>
      <c r="H195" s="1" t="s">
        <v>0</v>
      </c>
      <c r="I195" s="1" t="s">
        <v>2</v>
      </c>
      <c r="J195" s="1" t="s">
        <v>355</v>
      </c>
      <c r="K195" s="2"/>
      <c r="L195" s="1">
        <v>47567015</v>
      </c>
      <c r="M195" t="s">
        <v>1272</v>
      </c>
      <c r="N195">
        <v>41756150</v>
      </c>
      <c r="O195" t="s">
        <v>1315</v>
      </c>
    </row>
    <row r="196" spans="1:15" hidden="1" x14ac:dyDescent="0.35">
      <c r="A196" s="1" t="s">
        <v>917</v>
      </c>
      <c r="B196" s="1" t="s">
        <v>4</v>
      </c>
      <c r="C196" s="1" t="s">
        <v>916</v>
      </c>
      <c r="D196" s="2">
        <v>42005</v>
      </c>
      <c r="E196" s="3">
        <v>350000</v>
      </c>
      <c r="F196" s="3">
        <v>-350000</v>
      </c>
      <c r="G196" s="3">
        <v>0</v>
      </c>
      <c r="H196" s="1" t="s">
        <v>0</v>
      </c>
      <c r="I196" s="1" t="s">
        <v>2</v>
      </c>
      <c r="J196" s="1" t="s">
        <v>355</v>
      </c>
      <c r="K196" s="2"/>
      <c r="L196" s="1">
        <v>47567015</v>
      </c>
      <c r="M196" t="s">
        <v>1272</v>
      </c>
      <c r="N196">
        <v>41756150</v>
      </c>
      <c r="O196" t="s">
        <v>1315</v>
      </c>
    </row>
    <row r="197" spans="1:15" hidden="1" x14ac:dyDescent="0.35">
      <c r="A197" s="1" t="s">
        <v>915</v>
      </c>
      <c r="B197" s="1" t="s">
        <v>4</v>
      </c>
      <c r="C197" s="1" t="s">
        <v>912</v>
      </c>
      <c r="D197" s="2">
        <v>42005</v>
      </c>
      <c r="E197" s="3">
        <v>360000</v>
      </c>
      <c r="F197" s="3">
        <v>-360000</v>
      </c>
      <c r="G197" s="3">
        <v>0</v>
      </c>
      <c r="H197" s="1" t="s">
        <v>0</v>
      </c>
      <c r="I197" s="1" t="s">
        <v>2</v>
      </c>
      <c r="J197" s="1" t="s">
        <v>355</v>
      </c>
      <c r="K197" s="2"/>
      <c r="L197" s="1">
        <v>47567015</v>
      </c>
      <c r="M197" t="s">
        <v>1272</v>
      </c>
      <c r="N197">
        <v>41756150</v>
      </c>
      <c r="O197" t="s">
        <v>1315</v>
      </c>
    </row>
    <row r="198" spans="1:15" hidden="1" x14ac:dyDescent="0.35">
      <c r="A198" s="1" t="s">
        <v>914</v>
      </c>
      <c r="B198" s="1" t="s">
        <v>4</v>
      </c>
      <c r="C198" s="1" t="s">
        <v>912</v>
      </c>
      <c r="D198" s="2">
        <v>42005</v>
      </c>
      <c r="E198" s="3">
        <v>360000</v>
      </c>
      <c r="F198" s="3">
        <v>-360000</v>
      </c>
      <c r="G198" s="3">
        <v>0</v>
      </c>
      <c r="H198" s="1" t="s">
        <v>0</v>
      </c>
      <c r="I198" s="1" t="s">
        <v>2</v>
      </c>
      <c r="J198" s="1" t="s">
        <v>355</v>
      </c>
      <c r="K198" s="2"/>
      <c r="L198" s="1">
        <v>47567015</v>
      </c>
      <c r="M198" t="s">
        <v>1272</v>
      </c>
      <c r="N198">
        <v>41756150</v>
      </c>
      <c r="O198" t="s">
        <v>1315</v>
      </c>
    </row>
    <row r="199" spans="1:15" hidden="1" x14ac:dyDescent="0.35">
      <c r="A199" s="1" t="s">
        <v>913</v>
      </c>
      <c r="B199" s="1" t="s">
        <v>4</v>
      </c>
      <c r="C199" s="1" t="s">
        <v>912</v>
      </c>
      <c r="D199" s="2">
        <v>42005</v>
      </c>
      <c r="E199" s="3">
        <v>360000</v>
      </c>
      <c r="F199" s="3">
        <v>-360000</v>
      </c>
      <c r="G199" s="3">
        <v>0</v>
      </c>
      <c r="H199" s="1" t="s">
        <v>0</v>
      </c>
      <c r="I199" s="1" t="s">
        <v>2</v>
      </c>
      <c r="J199" s="1" t="s">
        <v>355</v>
      </c>
      <c r="K199" s="2"/>
      <c r="L199" s="1">
        <v>47567015</v>
      </c>
      <c r="M199" t="s">
        <v>1272</v>
      </c>
      <c r="N199">
        <v>41756150</v>
      </c>
      <c r="O199" t="s">
        <v>1315</v>
      </c>
    </row>
    <row r="200" spans="1:15" hidden="1" x14ac:dyDescent="0.35">
      <c r="A200" s="1" t="s">
        <v>911</v>
      </c>
      <c r="B200" s="1" t="s">
        <v>4</v>
      </c>
      <c r="C200" s="1" t="s">
        <v>908</v>
      </c>
      <c r="D200" s="2">
        <v>42005</v>
      </c>
      <c r="E200" s="3">
        <v>360000</v>
      </c>
      <c r="F200" s="3">
        <v>-360000</v>
      </c>
      <c r="G200" s="3">
        <v>0</v>
      </c>
      <c r="H200" s="1" t="s">
        <v>0</v>
      </c>
      <c r="I200" s="1" t="s">
        <v>2</v>
      </c>
      <c r="J200" s="1" t="s">
        <v>355</v>
      </c>
      <c r="K200" s="2"/>
      <c r="L200" s="1">
        <v>47567015</v>
      </c>
      <c r="M200" t="s">
        <v>1272</v>
      </c>
      <c r="N200">
        <v>41756150</v>
      </c>
      <c r="O200" t="s">
        <v>1315</v>
      </c>
    </row>
    <row r="201" spans="1:15" hidden="1" x14ac:dyDescent="0.35">
      <c r="A201" s="1" t="s">
        <v>910</v>
      </c>
      <c r="B201" s="1" t="s">
        <v>4</v>
      </c>
      <c r="C201" s="1" t="s">
        <v>908</v>
      </c>
      <c r="D201" s="2">
        <v>42005</v>
      </c>
      <c r="E201" s="3">
        <v>360000</v>
      </c>
      <c r="F201" s="3">
        <v>-360000</v>
      </c>
      <c r="G201" s="3">
        <v>0</v>
      </c>
      <c r="H201" s="1" t="s">
        <v>0</v>
      </c>
      <c r="I201" s="1" t="s">
        <v>2</v>
      </c>
      <c r="J201" s="1" t="s">
        <v>355</v>
      </c>
      <c r="K201" s="2"/>
      <c r="L201" s="1">
        <v>47567015</v>
      </c>
      <c r="M201" t="s">
        <v>1272</v>
      </c>
      <c r="N201">
        <v>41756150</v>
      </c>
      <c r="O201" t="s">
        <v>1315</v>
      </c>
    </row>
    <row r="202" spans="1:15" hidden="1" x14ac:dyDescent="0.35">
      <c r="A202" s="1" t="s">
        <v>909</v>
      </c>
      <c r="B202" s="1" t="s">
        <v>4</v>
      </c>
      <c r="C202" s="1" t="s">
        <v>908</v>
      </c>
      <c r="D202" s="2">
        <v>42005</v>
      </c>
      <c r="E202" s="3">
        <v>360000</v>
      </c>
      <c r="F202" s="3">
        <v>-360000</v>
      </c>
      <c r="G202" s="3">
        <v>0</v>
      </c>
      <c r="H202" s="1" t="s">
        <v>0</v>
      </c>
      <c r="I202" s="1" t="s">
        <v>2</v>
      </c>
      <c r="J202" s="1" t="s">
        <v>355</v>
      </c>
      <c r="K202" s="2"/>
      <c r="L202" s="1">
        <v>47567015</v>
      </c>
      <c r="M202" t="s">
        <v>1272</v>
      </c>
      <c r="N202">
        <v>41756150</v>
      </c>
      <c r="O202" t="s">
        <v>1315</v>
      </c>
    </row>
    <row r="203" spans="1:15" hidden="1" x14ac:dyDescent="0.35">
      <c r="A203" s="1" t="s">
        <v>907</v>
      </c>
      <c r="B203" s="1" t="s">
        <v>4</v>
      </c>
      <c r="C203" s="1" t="s">
        <v>906</v>
      </c>
      <c r="D203" s="2">
        <v>42005</v>
      </c>
      <c r="E203" s="3">
        <v>420000</v>
      </c>
      <c r="F203" s="3">
        <v>-420000</v>
      </c>
      <c r="G203" s="3">
        <v>0</v>
      </c>
      <c r="H203" s="1" t="s">
        <v>0</v>
      </c>
      <c r="I203" s="1" t="s">
        <v>2</v>
      </c>
      <c r="J203" s="1" t="s">
        <v>355</v>
      </c>
      <c r="K203" s="2"/>
      <c r="L203" s="1">
        <v>47567015</v>
      </c>
      <c r="M203" t="s">
        <v>1272</v>
      </c>
      <c r="N203">
        <v>41756150</v>
      </c>
      <c r="O203" t="s">
        <v>1315</v>
      </c>
    </row>
    <row r="204" spans="1:15" x14ac:dyDescent="0.35">
      <c r="A204" s="1" t="s">
        <v>905</v>
      </c>
      <c r="B204" s="1" t="s">
        <v>4</v>
      </c>
      <c r="C204" s="1" t="s">
        <v>904</v>
      </c>
      <c r="D204" s="2">
        <v>42005</v>
      </c>
      <c r="E204" s="3">
        <v>600000</v>
      </c>
      <c r="F204" s="3">
        <v>-600000</v>
      </c>
      <c r="G204" s="3">
        <v>0</v>
      </c>
      <c r="H204" s="1" t="s">
        <v>0</v>
      </c>
      <c r="I204" s="1" t="s">
        <v>2</v>
      </c>
      <c r="J204" s="1" t="s">
        <v>76</v>
      </c>
      <c r="K204" s="2"/>
      <c r="L204" s="14">
        <v>47544032</v>
      </c>
      <c r="M204" t="s">
        <v>1277</v>
      </c>
      <c r="N204" s="12">
        <v>41754150</v>
      </c>
      <c r="O204" t="s">
        <v>1321</v>
      </c>
    </row>
    <row r="205" spans="1:15" x14ac:dyDescent="0.35">
      <c r="A205" s="1" t="s">
        <v>903</v>
      </c>
      <c r="B205" s="1" t="s">
        <v>4</v>
      </c>
      <c r="C205" s="1" t="s">
        <v>902</v>
      </c>
      <c r="D205" s="2">
        <v>42005</v>
      </c>
      <c r="E205" s="3">
        <v>600000</v>
      </c>
      <c r="F205" s="3">
        <v>-600000</v>
      </c>
      <c r="G205" s="3">
        <v>0</v>
      </c>
      <c r="H205" s="1" t="s">
        <v>0</v>
      </c>
      <c r="I205" s="1" t="s">
        <v>2</v>
      </c>
      <c r="J205" s="1" t="s">
        <v>76</v>
      </c>
      <c r="K205" s="2"/>
      <c r="L205" s="14">
        <v>47544032</v>
      </c>
      <c r="M205" t="s">
        <v>1277</v>
      </c>
      <c r="N205" s="12">
        <v>41754150</v>
      </c>
      <c r="O205" t="s">
        <v>1321</v>
      </c>
    </row>
    <row r="206" spans="1:15" x14ac:dyDescent="0.35">
      <c r="A206" s="1" t="s">
        <v>901</v>
      </c>
      <c r="B206" s="1" t="s">
        <v>4</v>
      </c>
      <c r="C206" s="1" t="s">
        <v>900</v>
      </c>
      <c r="D206" s="2">
        <v>42005</v>
      </c>
      <c r="E206" s="3">
        <v>600000</v>
      </c>
      <c r="F206" s="3">
        <v>-600000</v>
      </c>
      <c r="G206" s="3">
        <v>0</v>
      </c>
      <c r="H206" s="1" t="s">
        <v>0</v>
      </c>
      <c r="I206" s="1" t="s">
        <v>2</v>
      </c>
      <c r="J206" s="1" t="s">
        <v>76</v>
      </c>
      <c r="K206" s="2"/>
      <c r="L206" s="14">
        <v>47544032</v>
      </c>
      <c r="M206" t="s">
        <v>1277</v>
      </c>
      <c r="N206" s="12">
        <v>41754150</v>
      </c>
      <c r="O206" t="s">
        <v>1321</v>
      </c>
    </row>
    <row r="207" spans="1:15" hidden="1" x14ac:dyDescent="0.35">
      <c r="A207" s="1" t="s">
        <v>899</v>
      </c>
      <c r="B207" s="1" t="s">
        <v>4</v>
      </c>
      <c r="C207" s="1" t="s">
        <v>897</v>
      </c>
      <c r="D207" s="2">
        <v>42005</v>
      </c>
      <c r="E207" s="3">
        <v>460000</v>
      </c>
      <c r="F207" s="3">
        <v>-460000</v>
      </c>
      <c r="G207" s="3">
        <v>0</v>
      </c>
      <c r="H207" s="1" t="s">
        <v>0</v>
      </c>
      <c r="I207" s="1" t="s">
        <v>2</v>
      </c>
      <c r="J207" s="1" t="s">
        <v>355</v>
      </c>
      <c r="K207" s="2"/>
      <c r="L207" s="1">
        <v>47567015</v>
      </c>
      <c r="M207" t="s">
        <v>1272</v>
      </c>
      <c r="N207">
        <v>41756150</v>
      </c>
      <c r="O207" t="s">
        <v>1315</v>
      </c>
    </row>
    <row r="208" spans="1:15" hidden="1" x14ac:dyDescent="0.35">
      <c r="A208" s="1" t="s">
        <v>898</v>
      </c>
      <c r="B208" s="1" t="s">
        <v>4</v>
      </c>
      <c r="C208" s="1" t="s">
        <v>897</v>
      </c>
      <c r="D208" s="2">
        <v>42005</v>
      </c>
      <c r="E208" s="3">
        <v>460000</v>
      </c>
      <c r="F208" s="3">
        <v>-460000</v>
      </c>
      <c r="G208" s="3">
        <v>0</v>
      </c>
      <c r="H208" s="1" t="s">
        <v>0</v>
      </c>
      <c r="I208" s="1" t="s">
        <v>2</v>
      </c>
      <c r="J208" s="1" t="s">
        <v>355</v>
      </c>
      <c r="K208" s="2"/>
      <c r="L208" s="1">
        <v>47567015</v>
      </c>
      <c r="M208" t="s">
        <v>1272</v>
      </c>
      <c r="N208">
        <v>41756150</v>
      </c>
      <c r="O208" t="s">
        <v>1315</v>
      </c>
    </row>
    <row r="209" spans="1:19" hidden="1" x14ac:dyDescent="0.35">
      <c r="A209" s="1" t="s">
        <v>896</v>
      </c>
      <c r="B209" s="1" t="s">
        <v>4</v>
      </c>
      <c r="C209" s="1" t="s">
        <v>895</v>
      </c>
      <c r="D209" s="2">
        <v>42005</v>
      </c>
      <c r="E209" s="3">
        <v>460000</v>
      </c>
      <c r="F209" s="3">
        <v>-460000</v>
      </c>
      <c r="G209" s="3">
        <v>0</v>
      </c>
      <c r="H209" s="1" t="s">
        <v>0</v>
      </c>
      <c r="I209" s="1" t="s">
        <v>2</v>
      </c>
      <c r="J209" s="1" t="s">
        <v>355</v>
      </c>
      <c r="K209" s="2"/>
      <c r="L209" s="1">
        <v>47567015</v>
      </c>
      <c r="M209" t="s">
        <v>1272</v>
      </c>
      <c r="N209">
        <v>41756150</v>
      </c>
      <c r="O209" t="s">
        <v>1315</v>
      </c>
    </row>
    <row r="210" spans="1:19" x14ac:dyDescent="0.35">
      <c r="A210" s="1" t="s">
        <v>894</v>
      </c>
      <c r="B210" s="1" t="s">
        <v>4</v>
      </c>
      <c r="C210" s="1" t="s">
        <v>893</v>
      </c>
      <c r="D210" s="2">
        <v>42005</v>
      </c>
      <c r="E210" s="3">
        <v>450000</v>
      </c>
      <c r="F210" s="3">
        <v>-450000</v>
      </c>
      <c r="G210" s="3">
        <v>0</v>
      </c>
      <c r="H210" s="1" t="s">
        <v>0</v>
      </c>
      <c r="I210" s="1" t="s">
        <v>2</v>
      </c>
      <c r="J210" s="1" t="s">
        <v>76</v>
      </c>
      <c r="K210" s="2"/>
      <c r="L210" s="14">
        <v>47544032</v>
      </c>
      <c r="M210" t="s">
        <v>1277</v>
      </c>
      <c r="N210" s="12">
        <v>41754150</v>
      </c>
      <c r="O210" t="s">
        <v>1321</v>
      </c>
    </row>
    <row r="211" spans="1:19" x14ac:dyDescent="0.35">
      <c r="A211" s="1" t="s">
        <v>892</v>
      </c>
      <c r="B211" s="1" t="s">
        <v>4</v>
      </c>
      <c r="C211" s="1" t="s">
        <v>891</v>
      </c>
      <c r="D211" s="2">
        <v>42005</v>
      </c>
      <c r="E211" s="3">
        <v>452000</v>
      </c>
      <c r="F211" s="3">
        <v>-452000</v>
      </c>
      <c r="G211" s="3">
        <v>0</v>
      </c>
      <c r="H211" s="1" t="s">
        <v>0</v>
      </c>
      <c r="I211" s="1" t="s">
        <v>2</v>
      </c>
      <c r="J211" s="1" t="s">
        <v>24</v>
      </c>
      <c r="K211" s="2"/>
      <c r="L211" s="14">
        <v>47544032</v>
      </c>
      <c r="M211" t="s">
        <v>1277</v>
      </c>
      <c r="N211" s="12">
        <v>41754150</v>
      </c>
      <c r="O211" t="s">
        <v>1359</v>
      </c>
      <c r="S211" t="s">
        <v>1362</v>
      </c>
    </row>
    <row r="212" spans="1:19" hidden="1" x14ac:dyDescent="0.35">
      <c r="A212" s="1" t="s">
        <v>890</v>
      </c>
      <c r="B212" s="1" t="s">
        <v>4</v>
      </c>
      <c r="C212" s="1" t="s">
        <v>889</v>
      </c>
      <c r="D212" s="2">
        <v>42005</v>
      </c>
      <c r="E212" s="3">
        <v>477000</v>
      </c>
      <c r="F212" s="3">
        <v>-477000</v>
      </c>
      <c r="G212" s="3">
        <v>0</v>
      </c>
      <c r="H212" s="1" t="s">
        <v>0</v>
      </c>
      <c r="I212" s="1" t="s">
        <v>2</v>
      </c>
      <c r="J212" s="1" t="s">
        <v>355</v>
      </c>
      <c r="K212" s="2"/>
      <c r="L212" s="1">
        <v>47567015</v>
      </c>
      <c r="M212" t="s">
        <v>1272</v>
      </c>
      <c r="N212">
        <v>41756150</v>
      </c>
      <c r="O212" t="s">
        <v>1315</v>
      </c>
    </row>
    <row r="213" spans="1:19" hidden="1" x14ac:dyDescent="0.35">
      <c r="A213" s="1" t="s">
        <v>888</v>
      </c>
      <c r="B213" s="1" t="s">
        <v>4</v>
      </c>
      <c r="C213" s="1" t="s">
        <v>887</v>
      </c>
      <c r="D213" s="2">
        <v>42005</v>
      </c>
      <c r="E213" s="3">
        <v>519000</v>
      </c>
      <c r="F213" s="3">
        <v>-519000</v>
      </c>
      <c r="G213" s="3">
        <v>0</v>
      </c>
      <c r="H213" s="1" t="s">
        <v>0</v>
      </c>
      <c r="I213" s="1" t="s">
        <v>2</v>
      </c>
      <c r="J213" s="1" t="s">
        <v>355</v>
      </c>
      <c r="K213" s="2"/>
      <c r="L213" s="1">
        <v>47502031</v>
      </c>
      <c r="M213" t="s">
        <v>1279</v>
      </c>
      <c r="N213">
        <v>41750150</v>
      </c>
      <c r="O213" t="s">
        <v>1314</v>
      </c>
    </row>
    <row r="214" spans="1:19" hidden="1" x14ac:dyDescent="0.35">
      <c r="A214" s="1" t="s">
        <v>886</v>
      </c>
      <c r="B214" s="1" t="s">
        <v>4</v>
      </c>
      <c r="C214" s="1" t="s">
        <v>885</v>
      </c>
      <c r="D214" s="2">
        <v>42005</v>
      </c>
      <c r="E214" s="3">
        <v>599200</v>
      </c>
      <c r="F214" s="3">
        <v>-599200</v>
      </c>
      <c r="G214" s="3">
        <v>0</v>
      </c>
      <c r="H214" s="1" t="s">
        <v>0</v>
      </c>
      <c r="I214" s="1" t="s">
        <v>2</v>
      </c>
      <c r="J214" s="1" t="s">
        <v>355</v>
      </c>
      <c r="K214" s="2"/>
      <c r="L214" s="1">
        <v>47567015</v>
      </c>
      <c r="M214" t="s">
        <v>1272</v>
      </c>
      <c r="N214">
        <v>41756150</v>
      </c>
      <c r="O214" t="s">
        <v>1315</v>
      </c>
    </row>
    <row r="215" spans="1:19" hidden="1" x14ac:dyDescent="0.35">
      <c r="A215" s="1" t="s">
        <v>884</v>
      </c>
      <c r="B215" s="1" t="s">
        <v>4</v>
      </c>
      <c r="C215" s="1" t="s">
        <v>883</v>
      </c>
      <c r="D215" s="2">
        <v>42005</v>
      </c>
      <c r="E215" s="3">
        <v>600000</v>
      </c>
      <c r="F215" s="3">
        <v>-600000</v>
      </c>
      <c r="G215" s="3">
        <v>0</v>
      </c>
      <c r="H215" s="1" t="s">
        <v>0</v>
      </c>
      <c r="I215" s="1" t="s">
        <v>2</v>
      </c>
      <c r="J215" s="1" t="s">
        <v>355</v>
      </c>
      <c r="K215" s="2"/>
      <c r="L215" s="1">
        <v>47567015</v>
      </c>
      <c r="M215" t="s">
        <v>1272</v>
      </c>
      <c r="N215">
        <v>41756150</v>
      </c>
      <c r="O215" t="s">
        <v>1315</v>
      </c>
    </row>
    <row r="216" spans="1:19" hidden="1" x14ac:dyDescent="0.35">
      <c r="A216" s="1" t="s">
        <v>882</v>
      </c>
      <c r="B216" s="1" t="s">
        <v>4</v>
      </c>
      <c r="C216" s="1" t="s">
        <v>881</v>
      </c>
      <c r="D216" s="2">
        <v>42005</v>
      </c>
      <c r="E216" s="3">
        <v>690000</v>
      </c>
      <c r="F216" s="3">
        <v>-690000</v>
      </c>
      <c r="G216" s="3">
        <v>0</v>
      </c>
      <c r="H216" s="1" t="s">
        <v>0</v>
      </c>
      <c r="I216" s="1" t="s">
        <v>2</v>
      </c>
      <c r="J216" s="1" t="s">
        <v>355</v>
      </c>
      <c r="K216" s="2"/>
      <c r="L216" s="1">
        <v>47567015</v>
      </c>
      <c r="M216" t="s">
        <v>1272</v>
      </c>
      <c r="N216">
        <v>41756150</v>
      </c>
      <c r="O216" t="s">
        <v>1315</v>
      </c>
    </row>
    <row r="217" spans="1:19" hidden="1" x14ac:dyDescent="0.35">
      <c r="A217" s="1" t="s">
        <v>880</v>
      </c>
      <c r="B217" s="1" t="s">
        <v>4</v>
      </c>
      <c r="C217" s="1" t="s">
        <v>879</v>
      </c>
      <c r="D217" s="2">
        <v>42005</v>
      </c>
      <c r="E217" s="3">
        <v>796000</v>
      </c>
      <c r="F217" s="3">
        <v>-796000</v>
      </c>
      <c r="G217" s="3">
        <v>0</v>
      </c>
      <c r="H217" s="1" t="s">
        <v>0</v>
      </c>
      <c r="I217" s="1" t="s">
        <v>2</v>
      </c>
      <c r="J217" s="1" t="s">
        <v>355</v>
      </c>
      <c r="K217" s="2"/>
      <c r="L217" s="1">
        <v>47502031</v>
      </c>
      <c r="M217" t="s">
        <v>1279</v>
      </c>
      <c r="N217">
        <v>41750150</v>
      </c>
      <c r="O217" t="s">
        <v>1314</v>
      </c>
    </row>
    <row r="218" spans="1:19" x14ac:dyDescent="0.35">
      <c r="A218" s="1" t="s">
        <v>878</v>
      </c>
      <c r="B218" s="1" t="s">
        <v>4</v>
      </c>
      <c r="C218" s="1" t="s">
        <v>877</v>
      </c>
      <c r="D218" s="2">
        <v>42005</v>
      </c>
      <c r="E218" s="3">
        <v>790000</v>
      </c>
      <c r="F218" s="3">
        <v>-790000</v>
      </c>
      <c r="G218" s="3">
        <v>0</v>
      </c>
      <c r="H218" s="1" t="s">
        <v>0</v>
      </c>
      <c r="I218" s="1" t="s">
        <v>2</v>
      </c>
      <c r="J218" s="1" t="s">
        <v>76</v>
      </c>
      <c r="K218" s="2"/>
      <c r="L218" s="14">
        <v>47544025</v>
      </c>
      <c r="M218" t="s">
        <v>1278</v>
      </c>
      <c r="N218" s="12">
        <v>41754150</v>
      </c>
      <c r="O218" t="s">
        <v>1338</v>
      </c>
    </row>
    <row r="219" spans="1:19" hidden="1" x14ac:dyDescent="0.35">
      <c r="A219" s="1" t="s">
        <v>876</v>
      </c>
      <c r="B219" s="1" t="s">
        <v>4</v>
      </c>
      <c r="C219" s="1" t="s">
        <v>875</v>
      </c>
      <c r="D219" s="2">
        <v>42005</v>
      </c>
      <c r="E219" s="3">
        <v>820000</v>
      </c>
      <c r="F219" s="3">
        <v>-820000</v>
      </c>
      <c r="G219" s="3">
        <v>0</v>
      </c>
      <c r="H219" s="1" t="s">
        <v>0</v>
      </c>
      <c r="I219" s="1" t="s">
        <v>2</v>
      </c>
      <c r="J219" s="1" t="s">
        <v>355</v>
      </c>
      <c r="K219" s="2"/>
      <c r="L219" s="1">
        <v>47567015</v>
      </c>
      <c r="M219" t="s">
        <v>1272</v>
      </c>
      <c r="N219">
        <v>41756150</v>
      </c>
      <c r="O219" t="s">
        <v>1315</v>
      </c>
    </row>
    <row r="220" spans="1:19" hidden="1" x14ac:dyDescent="0.35">
      <c r="A220" s="1" t="s">
        <v>874</v>
      </c>
      <c r="B220" s="1" t="s">
        <v>4</v>
      </c>
      <c r="C220" s="1" t="s">
        <v>873</v>
      </c>
      <c r="D220" s="2">
        <v>42005</v>
      </c>
      <c r="E220" s="3">
        <v>820000</v>
      </c>
      <c r="F220" s="3">
        <v>-820000</v>
      </c>
      <c r="G220" s="3">
        <v>0</v>
      </c>
      <c r="H220" s="1" t="s">
        <v>0</v>
      </c>
      <c r="I220" s="1" t="s">
        <v>2</v>
      </c>
      <c r="J220" s="1" t="s">
        <v>355</v>
      </c>
      <c r="K220" s="2"/>
      <c r="L220" s="1">
        <v>47567015</v>
      </c>
      <c r="M220" t="s">
        <v>1272</v>
      </c>
      <c r="N220">
        <v>41756150</v>
      </c>
      <c r="O220" t="s">
        <v>1315</v>
      </c>
    </row>
    <row r="221" spans="1:19" hidden="1" x14ac:dyDescent="0.35">
      <c r="A221" s="1" t="s">
        <v>872</v>
      </c>
      <c r="B221" s="1" t="s">
        <v>4</v>
      </c>
      <c r="C221" s="1" t="s">
        <v>871</v>
      </c>
      <c r="D221" s="2">
        <v>42005</v>
      </c>
      <c r="E221" s="3">
        <v>834760</v>
      </c>
      <c r="F221" s="3">
        <v>-834760</v>
      </c>
      <c r="G221" s="3">
        <v>0</v>
      </c>
      <c r="H221" s="1" t="s">
        <v>0</v>
      </c>
      <c r="I221" s="1" t="s">
        <v>2</v>
      </c>
      <c r="J221" s="1" t="s">
        <v>355</v>
      </c>
      <c r="K221" s="2"/>
      <c r="L221" s="1">
        <v>47567015</v>
      </c>
      <c r="M221" t="s">
        <v>1272</v>
      </c>
      <c r="N221">
        <v>41756150</v>
      </c>
      <c r="O221" t="s">
        <v>1315</v>
      </c>
    </row>
    <row r="222" spans="1:19" hidden="1" x14ac:dyDescent="0.35">
      <c r="A222" s="1" t="s">
        <v>870</v>
      </c>
      <c r="B222" s="1" t="s">
        <v>4</v>
      </c>
      <c r="C222" s="1" t="s">
        <v>869</v>
      </c>
      <c r="D222" s="2">
        <v>42005</v>
      </c>
      <c r="E222" s="3">
        <v>876000</v>
      </c>
      <c r="F222" s="3">
        <v>-876000</v>
      </c>
      <c r="G222" s="3">
        <v>0</v>
      </c>
      <c r="H222" s="1" t="s">
        <v>0</v>
      </c>
      <c r="I222" s="1" t="s">
        <v>2</v>
      </c>
      <c r="J222" s="1" t="s">
        <v>355</v>
      </c>
      <c r="K222" s="2"/>
      <c r="L222" s="1">
        <v>47502031</v>
      </c>
      <c r="M222" t="s">
        <v>1279</v>
      </c>
      <c r="N222">
        <v>41750150</v>
      </c>
      <c r="O222" t="s">
        <v>1314</v>
      </c>
    </row>
    <row r="223" spans="1:19" hidden="1" x14ac:dyDescent="0.35">
      <c r="A223" s="1" t="s">
        <v>868</v>
      </c>
      <c r="B223" s="1" t="s">
        <v>4</v>
      </c>
      <c r="C223" s="1" t="s">
        <v>867</v>
      </c>
      <c r="D223" s="2">
        <v>42005</v>
      </c>
      <c r="E223" s="3">
        <v>900000</v>
      </c>
      <c r="F223" s="3">
        <v>-900000</v>
      </c>
      <c r="G223" s="3">
        <v>0</v>
      </c>
      <c r="H223" s="1" t="s">
        <v>0</v>
      </c>
      <c r="I223" s="1" t="s">
        <v>2</v>
      </c>
      <c r="J223" s="1" t="s">
        <v>355</v>
      </c>
      <c r="K223" s="2"/>
      <c r="L223" s="1">
        <v>47567015</v>
      </c>
      <c r="M223" t="s">
        <v>1272</v>
      </c>
      <c r="N223">
        <v>41756150</v>
      </c>
      <c r="O223" t="s">
        <v>1315</v>
      </c>
    </row>
    <row r="224" spans="1:19" x14ac:dyDescent="0.35">
      <c r="A224" s="1" t="s">
        <v>866</v>
      </c>
      <c r="B224" s="1" t="s">
        <v>4</v>
      </c>
      <c r="C224" s="1" t="s">
        <v>865</v>
      </c>
      <c r="D224" s="2">
        <v>42005</v>
      </c>
      <c r="E224" s="3">
        <v>1000000</v>
      </c>
      <c r="F224" s="3">
        <v>-1000000</v>
      </c>
      <c r="G224" s="3">
        <v>0</v>
      </c>
      <c r="H224" s="1" t="s">
        <v>0</v>
      </c>
      <c r="I224" s="1" t="s">
        <v>2</v>
      </c>
      <c r="J224" s="1" t="s">
        <v>76</v>
      </c>
      <c r="K224" s="2"/>
      <c r="L224" s="14">
        <v>47544032</v>
      </c>
      <c r="M224" t="s">
        <v>1277</v>
      </c>
      <c r="N224" s="12">
        <v>41754150</v>
      </c>
      <c r="O224" t="s">
        <v>1321</v>
      </c>
    </row>
    <row r="225" spans="1:15" x14ac:dyDescent="0.35">
      <c r="A225" s="1" t="s">
        <v>864</v>
      </c>
      <c r="B225" s="1" t="s">
        <v>4</v>
      </c>
      <c r="C225" s="1" t="s">
        <v>863</v>
      </c>
      <c r="D225" s="2">
        <v>42005</v>
      </c>
      <c r="E225" s="3">
        <v>1080000</v>
      </c>
      <c r="F225" s="3">
        <v>-1080000</v>
      </c>
      <c r="G225" s="3">
        <v>0</v>
      </c>
      <c r="H225" s="1" t="s">
        <v>0</v>
      </c>
      <c r="I225" s="1" t="s">
        <v>2</v>
      </c>
      <c r="J225" s="1" t="s">
        <v>76</v>
      </c>
      <c r="K225" s="2"/>
      <c r="L225" s="14">
        <v>47544032</v>
      </c>
      <c r="M225" t="s">
        <v>1277</v>
      </c>
      <c r="N225" s="12">
        <v>41754150</v>
      </c>
      <c r="O225" t="s">
        <v>1321</v>
      </c>
    </row>
    <row r="226" spans="1:15" hidden="1" x14ac:dyDescent="0.35">
      <c r="A226" s="1" t="s">
        <v>862</v>
      </c>
      <c r="B226" s="1" t="s">
        <v>4</v>
      </c>
      <c r="C226" s="1" t="s">
        <v>861</v>
      </c>
      <c r="D226" s="2">
        <v>42005</v>
      </c>
      <c r="E226" s="3">
        <v>1226400</v>
      </c>
      <c r="F226" s="3">
        <v>-1226400</v>
      </c>
      <c r="G226" s="3">
        <v>0</v>
      </c>
      <c r="H226" s="1" t="s">
        <v>0</v>
      </c>
      <c r="I226" s="1" t="s">
        <v>2</v>
      </c>
      <c r="J226" s="1" t="s">
        <v>355</v>
      </c>
      <c r="K226" s="2"/>
      <c r="L226" s="1">
        <v>47502031</v>
      </c>
      <c r="M226" t="s">
        <v>1279</v>
      </c>
      <c r="N226">
        <v>41750150</v>
      </c>
      <c r="O226" t="s">
        <v>1314</v>
      </c>
    </row>
    <row r="227" spans="1:15" hidden="1" x14ac:dyDescent="0.35">
      <c r="A227" s="1" t="s">
        <v>860</v>
      </c>
      <c r="B227" s="1" t="s">
        <v>4</v>
      </c>
      <c r="C227" s="1" t="s">
        <v>857</v>
      </c>
      <c r="D227" s="2">
        <v>42005</v>
      </c>
      <c r="E227" s="3">
        <v>1260000</v>
      </c>
      <c r="F227" s="3">
        <v>-1260000</v>
      </c>
      <c r="G227" s="3">
        <v>0</v>
      </c>
      <c r="H227" s="1" t="s">
        <v>0</v>
      </c>
      <c r="I227" s="1" t="s">
        <v>2</v>
      </c>
      <c r="J227" s="1" t="s">
        <v>355</v>
      </c>
      <c r="K227" s="2"/>
      <c r="L227" s="1">
        <v>47567015</v>
      </c>
      <c r="M227" t="s">
        <v>1272</v>
      </c>
      <c r="N227">
        <v>41756150</v>
      </c>
      <c r="O227" t="s">
        <v>1315</v>
      </c>
    </row>
    <row r="228" spans="1:15" hidden="1" x14ac:dyDescent="0.35">
      <c r="A228" s="1" t="s">
        <v>859</v>
      </c>
      <c r="B228" s="1" t="s">
        <v>4</v>
      </c>
      <c r="C228" s="1" t="s">
        <v>857</v>
      </c>
      <c r="D228" s="2">
        <v>42005</v>
      </c>
      <c r="E228" s="3">
        <v>1260000</v>
      </c>
      <c r="F228" s="3">
        <v>-1260000</v>
      </c>
      <c r="G228" s="3">
        <v>0</v>
      </c>
      <c r="H228" s="1" t="s">
        <v>0</v>
      </c>
      <c r="I228" s="1" t="s">
        <v>2</v>
      </c>
      <c r="J228" s="1" t="s">
        <v>355</v>
      </c>
      <c r="K228" s="2"/>
      <c r="L228" s="1">
        <v>47567015</v>
      </c>
      <c r="M228" t="s">
        <v>1272</v>
      </c>
      <c r="N228">
        <v>41756150</v>
      </c>
      <c r="O228" t="s">
        <v>1315</v>
      </c>
    </row>
    <row r="229" spans="1:15" hidden="1" x14ac:dyDescent="0.35">
      <c r="A229" s="1" t="s">
        <v>858</v>
      </c>
      <c r="B229" s="1" t="s">
        <v>4</v>
      </c>
      <c r="C229" s="1" t="s">
        <v>857</v>
      </c>
      <c r="D229" s="2">
        <v>42005</v>
      </c>
      <c r="E229" s="3">
        <v>1260000</v>
      </c>
      <c r="F229" s="3">
        <v>-1260000</v>
      </c>
      <c r="G229" s="3">
        <v>0</v>
      </c>
      <c r="H229" s="1" t="s">
        <v>0</v>
      </c>
      <c r="I229" s="1" t="s">
        <v>2</v>
      </c>
      <c r="J229" s="1" t="s">
        <v>355</v>
      </c>
      <c r="K229" s="2"/>
      <c r="L229" s="1">
        <v>47567015</v>
      </c>
      <c r="M229" t="s">
        <v>1272</v>
      </c>
      <c r="N229">
        <v>41756150</v>
      </c>
      <c r="O229" t="s">
        <v>1315</v>
      </c>
    </row>
    <row r="230" spans="1:15" hidden="1" x14ac:dyDescent="0.35">
      <c r="A230" s="1" t="s">
        <v>856</v>
      </c>
      <c r="B230" s="1" t="s">
        <v>4</v>
      </c>
      <c r="C230" s="1" t="s">
        <v>855</v>
      </c>
      <c r="D230" s="2">
        <v>42005</v>
      </c>
      <c r="E230" s="3">
        <v>1260000</v>
      </c>
      <c r="F230" s="3">
        <v>-1260000</v>
      </c>
      <c r="G230" s="3">
        <v>0</v>
      </c>
      <c r="H230" s="1" t="s">
        <v>0</v>
      </c>
      <c r="I230" s="1" t="s">
        <v>2</v>
      </c>
      <c r="J230" s="1" t="s">
        <v>355</v>
      </c>
      <c r="K230" s="2"/>
      <c r="L230" s="1">
        <v>47567015</v>
      </c>
      <c r="M230" t="s">
        <v>1272</v>
      </c>
      <c r="N230">
        <v>41756150</v>
      </c>
      <c r="O230" t="s">
        <v>1315</v>
      </c>
    </row>
    <row r="231" spans="1:15" hidden="1" x14ac:dyDescent="0.35">
      <c r="A231" s="1" t="s">
        <v>854</v>
      </c>
      <c r="B231" s="1" t="s">
        <v>4</v>
      </c>
      <c r="C231" s="1" t="s">
        <v>853</v>
      </c>
      <c r="D231" s="2">
        <v>42005</v>
      </c>
      <c r="E231" s="3">
        <v>1330000</v>
      </c>
      <c r="F231" s="3">
        <v>-1330000</v>
      </c>
      <c r="G231" s="3">
        <v>0</v>
      </c>
      <c r="H231" s="1" t="s">
        <v>0</v>
      </c>
      <c r="I231" s="1" t="s">
        <v>2</v>
      </c>
      <c r="J231" s="1" t="s">
        <v>355</v>
      </c>
      <c r="K231" s="2"/>
      <c r="L231" s="1">
        <v>47567015</v>
      </c>
      <c r="M231" t="s">
        <v>1272</v>
      </c>
      <c r="N231">
        <v>41756150</v>
      </c>
      <c r="O231" t="s">
        <v>1315</v>
      </c>
    </row>
    <row r="232" spans="1:15" x14ac:dyDescent="0.35">
      <c r="A232" s="1" t="s">
        <v>852</v>
      </c>
      <c r="B232" s="1" t="s">
        <v>4</v>
      </c>
      <c r="C232" s="1" t="s">
        <v>851</v>
      </c>
      <c r="D232" s="2">
        <v>42005</v>
      </c>
      <c r="E232" s="3">
        <v>1500000</v>
      </c>
      <c r="F232" s="3">
        <v>-1500000</v>
      </c>
      <c r="G232" s="3">
        <v>0</v>
      </c>
      <c r="H232" s="1" t="s">
        <v>0</v>
      </c>
      <c r="I232" s="1" t="s">
        <v>2</v>
      </c>
      <c r="J232" s="1" t="s">
        <v>76</v>
      </c>
      <c r="K232" s="2"/>
      <c r="L232" s="14">
        <v>47544032</v>
      </c>
      <c r="M232" t="s">
        <v>1277</v>
      </c>
      <c r="N232" s="12">
        <v>41754150</v>
      </c>
      <c r="O232" t="s">
        <v>1321</v>
      </c>
    </row>
    <row r="233" spans="1:15" x14ac:dyDescent="0.35">
      <c r="A233" s="1" t="s">
        <v>850</v>
      </c>
      <c r="B233" s="1" t="s">
        <v>4</v>
      </c>
      <c r="C233" s="1" t="s">
        <v>849</v>
      </c>
      <c r="D233" s="2">
        <v>42005</v>
      </c>
      <c r="E233" s="3">
        <v>1500000</v>
      </c>
      <c r="F233" s="3">
        <v>-1500000</v>
      </c>
      <c r="G233" s="3">
        <v>0</v>
      </c>
      <c r="H233" s="1" t="s">
        <v>0</v>
      </c>
      <c r="I233" s="1" t="s">
        <v>2</v>
      </c>
      <c r="J233" s="1" t="s">
        <v>76</v>
      </c>
      <c r="K233" s="2"/>
      <c r="L233" s="14">
        <v>47544032</v>
      </c>
      <c r="M233" t="s">
        <v>1277</v>
      </c>
      <c r="N233" s="12">
        <v>41754150</v>
      </c>
      <c r="O233" t="s">
        <v>1321</v>
      </c>
    </row>
    <row r="234" spans="1:15" x14ac:dyDescent="0.35">
      <c r="A234" s="1" t="s">
        <v>848</v>
      </c>
      <c r="B234" s="1" t="s">
        <v>4</v>
      </c>
      <c r="C234" s="1" t="s">
        <v>847</v>
      </c>
      <c r="D234" s="2">
        <v>42005</v>
      </c>
      <c r="E234" s="3">
        <v>1500000</v>
      </c>
      <c r="F234" s="3">
        <v>-1500000</v>
      </c>
      <c r="G234" s="3">
        <v>0</v>
      </c>
      <c r="H234" s="1" t="s">
        <v>0</v>
      </c>
      <c r="I234" s="1" t="s">
        <v>2</v>
      </c>
      <c r="J234" s="1" t="s">
        <v>76</v>
      </c>
      <c r="K234" s="2"/>
      <c r="L234" s="14">
        <v>47544032</v>
      </c>
      <c r="M234" t="s">
        <v>1277</v>
      </c>
      <c r="N234" s="12">
        <v>41754150</v>
      </c>
      <c r="O234" t="s">
        <v>1321</v>
      </c>
    </row>
    <row r="235" spans="1:15" x14ac:dyDescent="0.35">
      <c r="A235" s="1" t="s">
        <v>846</v>
      </c>
      <c r="B235" s="1" t="s">
        <v>4</v>
      </c>
      <c r="C235" s="1" t="s">
        <v>845</v>
      </c>
      <c r="D235" s="2">
        <v>42005</v>
      </c>
      <c r="E235" s="3">
        <v>1500000</v>
      </c>
      <c r="F235" s="3">
        <v>-1500000</v>
      </c>
      <c r="G235" s="3">
        <v>0</v>
      </c>
      <c r="H235" s="1" t="s">
        <v>0</v>
      </c>
      <c r="I235" s="1" t="s">
        <v>2</v>
      </c>
      <c r="J235" s="1" t="s">
        <v>76</v>
      </c>
      <c r="K235" s="2"/>
      <c r="L235" s="14">
        <v>47544032</v>
      </c>
      <c r="M235" t="s">
        <v>1277</v>
      </c>
      <c r="N235" s="12">
        <v>41754150</v>
      </c>
      <c r="O235" t="s">
        <v>1321</v>
      </c>
    </row>
    <row r="236" spans="1:15" hidden="1" x14ac:dyDescent="0.35">
      <c r="A236" s="1" t="s">
        <v>844</v>
      </c>
      <c r="B236" s="1" t="s">
        <v>4</v>
      </c>
      <c r="C236" s="1" t="s">
        <v>841</v>
      </c>
      <c r="D236" s="2">
        <v>42005</v>
      </c>
      <c r="E236" s="3">
        <v>1584000</v>
      </c>
      <c r="F236" s="3">
        <v>-1584000</v>
      </c>
      <c r="G236" s="3">
        <v>0</v>
      </c>
      <c r="H236" s="1" t="s">
        <v>0</v>
      </c>
      <c r="I236" s="1" t="s">
        <v>2</v>
      </c>
      <c r="J236" s="1" t="s">
        <v>56</v>
      </c>
      <c r="K236" s="2"/>
      <c r="L236" s="1">
        <v>47567015</v>
      </c>
      <c r="M236" t="s">
        <v>1272</v>
      </c>
      <c r="N236">
        <v>41756150</v>
      </c>
      <c r="O236" t="s">
        <v>1315</v>
      </c>
    </row>
    <row r="237" spans="1:15" hidden="1" x14ac:dyDescent="0.35">
      <c r="A237" s="1" t="s">
        <v>843</v>
      </c>
      <c r="B237" s="1" t="s">
        <v>4</v>
      </c>
      <c r="C237" s="1" t="s">
        <v>841</v>
      </c>
      <c r="D237" s="2">
        <v>42005</v>
      </c>
      <c r="E237" s="3">
        <v>1584000</v>
      </c>
      <c r="F237" s="3">
        <v>-1584000</v>
      </c>
      <c r="G237" s="3">
        <v>0</v>
      </c>
      <c r="H237" s="1" t="s">
        <v>0</v>
      </c>
      <c r="I237" s="1" t="s">
        <v>2</v>
      </c>
      <c r="J237" s="1" t="s">
        <v>56</v>
      </c>
      <c r="K237" s="2"/>
      <c r="L237" s="1">
        <v>47567015</v>
      </c>
      <c r="M237" t="s">
        <v>1272</v>
      </c>
      <c r="N237">
        <v>41756150</v>
      </c>
      <c r="O237" t="s">
        <v>1315</v>
      </c>
    </row>
    <row r="238" spans="1:15" hidden="1" x14ac:dyDescent="0.35">
      <c r="A238" s="1" t="s">
        <v>842</v>
      </c>
      <c r="B238" s="1" t="s">
        <v>4</v>
      </c>
      <c r="C238" s="1" t="s">
        <v>841</v>
      </c>
      <c r="D238" s="2">
        <v>43678</v>
      </c>
      <c r="E238" s="3">
        <v>1584000</v>
      </c>
      <c r="F238" s="3">
        <v>-1584000</v>
      </c>
      <c r="G238" s="3">
        <v>0</v>
      </c>
      <c r="H238" s="1" t="s">
        <v>0</v>
      </c>
      <c r="I238" s="1" t="s">
        <v>2</v>
      </c>
      <c r="J238" s="1" t="s">
        <v>56</v>
      </c>
      <c r="K238" s="2"/>
      <c r="L238" s="1">
        <v>47567015</v>
      </c>
      <c r="M238" t="s">
        <v>1272</v>
      </c>
      <c r="N238">
        <v>41756150</v>
      </c>
      <c r="O238" t="s">
        <v>1315</v>
      </c>
    </row>
    <row r="239" spans="1:15" x14ac:dyDescent="0.35">
      <c r="A239" s="1" t="s">
        <v>840</v>
      </c>
      <c r="B239" s="1" t="s">
        <v>4</v>
      </c>
      <c r="C239" s="1" t="s">
        <v>839</v>
      </c>
      <c r="D239" s="2">
        <v>42005</v>
      </c>
      <c r="E239" s="3">
        <v>1700000</v>
      </c>
      <c r="F239" s="3">
        <v>-1700000</v>
      </c>
      <c r="G239" s="3">
        <v>0</v>
      </c>
      <c r="H239" s="1" t="s">
        <v>0</v>
      </c>
      <c r="I239" s="1" t="s">
        <v>2</v>
      </c>
      <c r="J239" s="1" t="s">
        <v>76</v>
      </c>
      <c r="K239" s="2"/>
      <c r="L239" s="14">
        <v>47544032</v>
      </c>
      <c r="M239" t="s">
        <v>1277</v>
      </c>
      <c r="N239" s="12">
        <v>41754150</v>
      </c>
      <c r="O239" t="s">
        <v>1321</v>
      </c>
    </row>
    <row r="240" spans="1:15" x14ac:dyDescent="0.35">
      <c r="A240" s="1" t="s">
        <v>838</v>
      </c>
      <c r="B240" s="1" t="s">
        <v>4</v>
      </c>
      <c r="C240" s="1" t="s">
        <v>837</v>
      </c>
      <c r="D240" s="2">
        <v>42005</v>
      </c>
      <c r="E240" s="3">
        <v>1700000</v>
      </c>
      <c r="F240" s="3">
        <v>-1700000</v>
      </c>
      <c r="G240" s="3">
        <v>0</v>
      </c>
      <c r="H240" s="1" t="s">
        <v>0</v>
      </c>
      <c r="I240" s="1" t="s">
        <v>2</v>
      </c>
      <c r="J240" s="1" t="s">
        <v>76</v>
      </c>
      <c r="K240" s="2"/>
      <c r="L240" s="14">
        <v>47544032</v>
      </c>
      <c r="M240" t="s">
        <v>1277</v>
      </c>
      <c r="N240" s="12">
        <v>41754150</v>
      </c>
      <c r="O240" t="s">
        <v>1321</v>
      </c>
    </row>
    <row r="241" spans="1:19" x14ac:dyDescent="0.35">
      <c r="A241" s="1" t="s">
        <v>836</v>
      </c>
      <c r="B241" s="1" t="s">
        <v>4</v>
      </c>
      <c r="C241" s="1" t="s">
        <v>835</v>
      </c>
      <c r="D241" s="2">
        <v>42005</v>
      </c>
      <c r="E241" s="3">
        <v>1700000</v>
      </c>
      <c r="F241" s="3">
        <v>-1700000</v>
      </c>
      <c r="G241" s="3">
        <v>0</v>
      </c>
      <c r="H241" s="1" t="s">
        <v>0</v>
      </c>
      <c r="I241" s="1" t="s">
        <v>2</v>
      </c>
      <c r="J241" s="1" t="s">
        <v>76</v>
      </c>
      <c r="K241" s="2"/>
      <c r="L241" s="14">
        <v>47544032</v>
      </c>
      <c r="M241" t="s">
        <v>1277</v>
      </c>
      <c r="N241" s="12">
        <v>41754150</v>
      </c>
      <c r="O241" t="s">
        <v>1321</v>
      </c>
    </row>
    <row r="242" spans="1:19" hidden="1" x14ac:dyDescent="0.35">
      <c r="A242" s="1" t="s">
        <v>834</v>
      </c>
      <c r="B242" s="1" t="s">
        <v>4</v>
      </c>
      <c r="C242" s="1" t="s">
        <v>833</v>
      </c>
      <c r="D242" s="2">
        <v>42005</v>
      </c>
      <c r="E242" s="3">
        <v>1700000</v>
      </c>
      <c r="F242" s="3">
        <v>-1700000</v>
      </c>
      <c r="G242" s="3">
        <v>0</v>
      </c>
      <c r="H242" s="1" t="s">
        <v>0</v>
      </c>
      <c r="I242" s="1" t="s">
        <v>2</v>
      </c>
      <c r="J242" s="1" t="s">
        <v>355</v>
      </c>
      <c r="K242" s="2"/>
      <c r="L242" s="1">
        <v>47567015</v>
      </c>
      <c r="M242" t="s">
        <v>1272</v>
      </c>
      <c r="N242">
        <v>41756150</v>
      </c>
      <c r="O242" t="s">
        <v>1315</v>
      </c>
    </row>
    <row r="243" spans="1:19" x14ac:dyDescent="0.35">
      <c r="A243" s="1" t="s">
        <v>832</v>
      </c>
      <c r="B243" s="1" t="s">
        <v>4</v>
      </c>
      <c r="C243" s="1" t="s">
        <v>831</v>
      </c>
      <c r="D243" s="2">
        <v>42005</v>
      </c>
      <c r="E243" s="3">
        <v>2000000</v>
      </c>
      <c r="F243" s="3">
        <v>-2000000</v>
      </c>
      <c r="G243" s="3">
        <v>0</v>
      </c>
      <c r="H243" s="1" t="s">
        <v>0</v>
      </c>
      <c r="I243" s="1" t="s">
        <v>2</v>
      </c>
      <c r="J243" s="1" t="s">
        <v>76</v>
      </c>
      <c r="K243" s="2"/>
      <c r="L243" s="14">
        <v>47544032</v>
      </c>
      <c r="M243" t="s">
        <v>1277</v>
      </c>
      <c r="N243" s="12">
        <v>41754150</v>
      </c>
      <c r="O243" t="s">
        <v>1321</v>
      </c>
    </row>
    <row r="244" spans="1:19" x14ac:dyDescent="0.35">
      <c r="A244" s="1" t="s">
        <v>830</v>
      </c>
      <c r="B244" s="1" t="s">
        <v>4</v>
      </c>
      <c r="C244" s="1" t="s">
        <v>829</v>
      </c>
      <c r="D244" s="2">
        <v>42005</v>
      </c>
      <c r="E244" s="3">
        <v>2000000</v>
      </c>
      <c r="F244" s="3">
        <v>-2000000</v>
      </c>
      <c r="G244" s="3">
        <v>0</v>
      </c>
      <c r="H244" s="1" t="s">
        <v>0</v>
      </c>
      <c r="I244" s="1" t="s">
        <v>2</v>
      </c>
      <c r="J244" s="1" t="s">
        <v>76</v>
      </c>
      <c r="K244" s="2"/>
      <c r="L244" s="14">
        <v>47544032</v>
      </c>
      <c r="M244" t="s">
        <v>1277</v>
      </c>
      <c r="N244" s="12">
        <v>41754150</v>
      </c>
      <c r="O244" t="s">
        <v>1321</v>
      </c>
    </row>
    <row r="245" spans="1:19" x14ac:dyDescent="0.35">
      <c r="A245" s="1" t="s">
        <v>828</v>
      </c>
      <c r="B245" s="1" t="s">
        <v>4</v>
      </c>
      <c r="C245" s="1" t="s">
        <v>827</v>
      </c>
      <c r="D245" s="2">
        <v>42005</v>
      </c>
      <c r="E245" s="3">
        <v>2000000</v>
      </c>
      <c r="F245" s="3">
        <v>-2000000</v>
      </c>
      <c r="G245" s="3">
        <v>0</v>
      </c>
      <c r="H245" s="1" t="s">
        <v>0</v>
      </c>
      <c r="I245" s="1" t="s">
        <v>2</v>
      </c>
      <c r="J245" s="1" t="s">
        <v>76</v>
      </c>
      <c r="K245" s="2"/>
      <c r="L245" s="14">
        <v>47544032</v>
      </c>
      <c r="M245" t="s">
        <v>1277</v>
      </c>
      <c r="N245" s="12">
        <v>41754150</v>
      </c>
      <c r="O245" t="s">
        <v>1321</v>
      </c>
    </row>
    <row r="246" spans="1:19" x14ac:dyDescent="0.35">
      <c r="A246" s="1" t="s">
        <v>826</v>
      </c>
      <c r="B246" s="1" t="s">
        <v>4</v>
      </c>
      <c r="C246" s="1" t="s">
        <v>825</v>
      </c>
      <c r="D246" s="2">
        <v>42005</v>
      </c>
      <c r="E246" s="3">
        <v>2000000</v>
      </c>
      <c r="F246" s="3">
        <v>-2000000</v>
      </c>
      <c r="G246" s="3">
        <v>0</v>
      </c>
      <c r="H246" s="1" t="s">
        <v>0</v>
      </c>
      <c r="I246" s="1" t="s">
        <v>2</v>
      </c>
      <c r="J246" s="1" t="s">
        <v>76</v>
      </c>
      <c r="K246" s="2"/>
      <c r="L246" s="14">
        <v>47544032</v>
      </c>
      <c r="M246" t="s">
        <v>1277</v>
      </c>
      <c r="N246" s="12">
        <v>41754150</v>
      </c>
      <c r="O246" t="s">
        <v>1321</v>
      </c>
    </row>
    <row r="247" spans="1:19" x14ac:dyDescent="0.35">
      <c r="A247" s="1" t="s">
        <v>824</v>
      </c>
      <c r="B247" s="1" t="s">
        <v>4</v>
      </c>
      <c r="C247" s="1" t="s">
        <v>823</v>
      </c>
      <c r="D247" s="2">
        <v>42005</v>
      </c>
      <c r="E247" s="3">
        <v>2000000</v>
      </c>
      <c r="F247" s="3">
        <v>-2000000</v>
      </c>
      <c r="G247" s="3">
        <v>0</v>
      </c>
      <c r="H247" s="1" t="s">
        <v>0</v>
      </c>
      <c r="I247" s="1" t="s">
        <v>2</v>
      </c>
      <c r="J247" s="1" t="s">
        <v>76</v>
      </c>
      <c r="K247" s="2"/>
      <c r="L247" s="14">
        <v>47544032</v>
      </c>
      <c r="M247" t="s">
        <v>1277</v>
      </c>
      <c r="N247" s="12">
        <v>41754150</v>
      </c>
      <c r="O247" t="s">
        <v>1321</v>
      </c>
    </row>
    <row r="248" spans="1:19" x14ac:dyDescent="0.35">
      <c r="A248" s="1" t="s">
        <v>822</v>
      </c>
      <c r="B248" s="1" t="s">
        <v>4</v>
      </c>
      <c r="C248" s="1" t="s">
        <v>821</v>
      </c>
      <c r="D248" s="2">
        <v>42005</v>
      </c>
      <c r="E248" s="3">
        <v>2000000</v>
      </c>
      <c r="F248" s="3">
        <v>-2000000</v>
      </c>
      <c r="G248" s="3">
        <v>0</v>
      </c>
      <c r="H248" s="1" t="s">
        <v>0</v>
      </c>
      <c r="I248" s="1" t="s">
        <v>2</v>
      </c>
      <c r="J248" s="1" t="s">
        <v>76</v>
      </c>
      <c r="K248" s="2"/>
      <c r="L248" s="14">
        <v>47544032</v>
      </c>
      <c r="M248" t="s">
        <v>1277</v>
      </c>
      <c r="N248" s="12">
        <v>41754150</v>
      </c>
      <c r="O248" t="s">
        <v>1321</v>
      </c>
    </row>
    <row r="249" spans="1:19" hidden="1" x14ac:dyDescent="0.35">
      <c r="A249" s="1" t="s">
        <v>820</v>
      </c>
      <c r="B249" s="1" t="s">
        <v>4</v>
      </c>
      <c r="C249" s="1" t="s">
        <v>819</v>
      </c>
      <c r="D249" s="2">
        <v>42005</v>
      </c>
      <c r="E249" s="3">
        <v>2191200</v>
      </c>
      <c r="F249" s="3">
        <v>-2191200</v>
      </c>
      <c r="G249" s="3">
        <v>0</v>
      </c>
      <c r="H249" s="1" t="s">
        <v>0</v>
      </c>
      <c r="I249" s="1" t="s">
        <v>2</v>
      </c>
      <c r="J249" s="1" t="s">
        <v>355</v>
      </c>
      <c r="K249" s="2"/>
      <c r="L249" s="1">
        <v>47502031</v>
      </c>
      <c r="M249" t="s">
        <v>1279</v>
      </c>
      <c r="N249">
        <v>41750150</v>
      </c>
      <c r="O249" t="s">
        <v>1314</v>
      </c>
    </row>
    <row r="250" spans="1:19" x14ac:dyDescent="0.35">
      <c r="A250" s="1" t="s">
        <v>818</v>
      </c>
      <c r="B250" s="1" t="s">
        <v>4</v>
      </c>
      <c r="C250" s="1" t="s">
        <v>817</v>
      </c>
      <c r="D250" s="2">
        <v>42005</v>
      </c>
      <c r="E250" s="3">
        <v>2500000</v>
      </c>
      <c r="F250" s="3">
        <v>-2500000</v>
      </c>
      <c r="G250" s="3">
        <v>0</v>
      </c>
      <c r="H250" s="1" t="s">
        <v>0</v>
      </c>
      <c r="I250" s="1" t="s">
        <v>2</v>
      </c>
      <c r="J250" s="1" t="s">
        <v>76</v>
      </c>
      <c r="K250" s="2"/>
      <c r="L250" s="14">
        <v>47544032</v>
      </c>
      <c r="M250" t="s">
        <v>1277</v>
      </c>
      <c r="N250" s="12">
        <v>41754150</v>
      </c>
      <c r="O250" t="s">
        <v>1321</v>
      </c>
    </row>
    <row r="251" spans="1:19" hidden="1" x14ac:dyDescent="0.35">
      <c r="A251" s="1" t="s">
        <v>816</v>
      </c>
      <c r="B251" s="1" t="s">
        <v>4</v>
      </c>
      <c r="C251" s="1" t="s">
        <v>815</v>
      </c>
      <c r="D251" s="2">
        <v>42005</v>
      </c>
      <c r="E251" s="3">
        <v>2349000</v>
      </c>
      <c r="F251" s="3">
        <v>-2349000</v>
      </c>
      <c r="G251" s="3">
        <v>0</v>
      </c>
      <c r="H251" s="1" t="s">
        <v>0</v>
      </c>
      <c r="I251" s="1" t="s">
        <v>2</v>
      </c>
      <c r="J251" s="1" t="s">
        <v>355</v>
      </c>
      <c r="K251" s="2"/>
      <c r="L251" s="1">
        <v>47567015</v>
      </c>
      <c r="M251" t="s">
        <v>1272</v>
      </c>
      <c r="N251">
        <v>41756150</v>
      </c>
      <c r="O251" t="s">
        <v>1315</v>
      </c>
    </row>
    <row r="252" spans="1:19" x14ac:dyDescent="0.35">
      <c r="A252" s="1" t="s">
        <v>814</v>
      </c>
      <c r="B252" s="1" t="s">
        <v>4</v>
      </c>
      <c r="C252" s="1" t="s">
        <v>813</v>
      </c>
      <c r="D252" s="2">
        <v>42005</v>
      </c>
      <c r="E252" s="3">
        <v>58241</v>
      </c>
      <c r="F252" s="3">
        <v>-58241</v>
      </c>
      <c r="G252" s="3">
        <v>0</v>
      </c>
      <c r="H252" s="1" t="s">
        <v>0</v>
      </c>
      <c r="I252" s="1" t="s">
        <v>2</v>
      </c>
      <c r="J252" s="1" t="s">
        <v>76</v>
      </c>
      <c r="K252" s="2"/>
      <c r="L252" s="14">
        <v>47544015</v>
      </c>
      <c r="M252" t="s">
        <v>1280</v>
      </c>
      <c r="N252" s="12">
        <v>41754150</v>
      </c>
      <c r="O252" t="s">
        <v>1339</v>
      </c>
      <c r="S252" t="s">
        <v>1344</v>
      </c>
    </row>
    <row r="253" spans="1:19" x14ac:dyDescent="0.35">
      <c r="A253" s="1" t="s">
        <v>812</v>
      </c>
      <c r="B253" s="1" t="s">
        <v>4</v>
      </c>
      <c r="C253" s="1" t="s">
        <v>811</v>
      </c>
      <c r="D253" s="2">
        <v>42005</v>
      </c>
      <c r="E253" s="3">
        <v>3000000</v>
      </c>
      <c r="F253" s="3">
        <v>-3000000</v>
      </c>
      <c r="G253" s="3">
        <v>0</v>
      </c>
      <c r="H253" s="1" t="s">
        <v>0</v>
      </c>
      <c r="I253" s="1" t="s">
        <v>2</v>
      </c>
      <c r="J253" s="1" t="s">
        <v>24</v>
      </c>
      <c r="K253" s="2"/>
      <c r="L253" s="14">
        <v>47544011</v>
      </c>
      <c r="M253" t="s">
        <v>1276</v>
      </c>
      <c r="N253" s="12">
        <v>41754150</v>
      </c>
      <c r="O253" t="s">
        <v>1321</v>
      </c>
    </row>
    <row r="254" spans="1:19" x14ac:dyDescent="0.35">
      <c r="A254" s="1" t="s">
        <v>810</v>
      </c>
      <c r="B254" s="1" t="s">
        <v>4</v>
      </c>
      <c r="C254" s="1" t="s">
        <v>809</v>
      </c>
      <c r="D254" s="2">
        <v>42005</v>
      </c>
      <c r="E254" s="3">
        <v>3000000</v>
      </c>
      <c r="F254" s="3">
        <v>-2839544</v>
      </c>
      <c r="G254" s="3">
        <v>160456</v>
      </c>
      <c r="H254" s="1" t="s">
        <v>0</v>
      </c>
      <c r="I254" s="1" t="s">
        <v>2</v>
      </c>
      <c r="J254" s="1" t="s">
        <v>76</v>
      </c>
      <c r="K254" s="2"/>
      <c r="L254" s="14">
        <v>47544032</v>
      </c>
      <c r="M254" t="s">
        <v>1277</v>
      </c>
      <c r="N254" s="12">
        <v>41754150</v>
      </c>
      <c r="O254" t="s">
        <v>1321</v>
      </c>
    </row>
    <row r="255" spans="1:19" x14ac:dyDescent="0.35">
      <c r="A255" s="1" t="s">
        <v>808</v>
      </c>
      <c r="B255" s="1" t="s">
        <v>4</v>
      </c>
      <c r="C255" s="1" t="s">
        <v>807</v>
      </c>
      <c r="D255" s="2">
        <v>42005</v>
      </c>
      <c r="E255" s="3">
        <v>87362</v>
      </c>
      <c r="F255" s="3">
        <v>-87362</v>
      </c>
      <c r="G255" s="3">
        <v>0</v>
      </c>
      <c r="H255" s="1" t="s">
        <v>0</v>
      </c>
      <c r="I255" s="1" t="s">
        <v>2</v>
      </c>
      <c r="J255" s="1" t="s">
        <v>76</v>
      </c>
      <c r="K255" s="2"/>
      <c r="L255" s="14">
        <v>47544025</v>
      </c>
      <c r="M255" t="s">
        <v>1278</v>
      </c>
      <c r="N255" s="12">
        <v>41754150</v>
      </c>
      <c r="O255" t="s">
        <v>1339</v>
      </c>
    </row>
    <row r="256" spans="1:19" hidden="1" x14ac:dyDescent="0.35">
      <c r="A256" s="1" t="s">
        <v>806</v>
      </c>
      <c r="B256" s="1" t="s">
        <v>4</v>
      </c>
      <c r="C256" s="1" t="s">
        <v>805</v>
      </c>
      <c r="D256" s="2">
        <v>42005</v>
      </c>
      <c r="E256" s="3">
        <v>3029740</v>
      </c>
      <c r="F256" s="3">
        <v>-3029740</v>
      </c>
      <c r="G256" s="3">
        <v>0</v>
      </c>
      <c r="H256" s="1" t="s">
        <v>0</v>
      </c>
      <c r="I256" s="1" t="s">
        <v>2</v>
      </c>
      <c r="J256" s="1" t="s">
        <v>76</v>
      </c>
      <c r="K256" s="2"/>
      <c r="L256" s="1">
        <v>47567015</v>
      </c>
      <c r="M256" t="s">
        <v>1272</v>
      </c>
      <c r="N256">
        <v>41756150</v>
      </c>
      <c r="O256" t="s">
        <v>1315</v>
      </c>
    </row>
    <row r="257" spans="1:19" hidden="1" x14ac:dyDescent="0.35">
      <c r="A257" s="1" t="s">
        <v>804</v>
      </c>
      <c r="B257" s="1" t="s">
        <v>4</v>
      </c>
      <c r="C257" s="1" t="s">
        <v>803</v>
      </c>
      <c r="D257" s="2">
        <v>42005</v>
      </c>
      <c r="E257" s="3">
        <v>3200000</v>
      </c>
      <c r="F257" s="3">
        <v>-3200000</v>
      </c>
      <c r="G257" s="3">
        <v>0</v>
      </c>
      <c r="H257" s="1" t="s">
        <v>0</v>
      </c>
      <c r="I257" s="1" t="s">
        <v>2</v>
      </c>
      <c r="J257" s="1" t="s">
        <v>24</v>
      </c>
      <c r="K257" s="2"/>
      <c r="L257" s="1">
        <v>47567015</v>
      </c>
      <c r="M257" t="s">
        <v>1272</v>
      </c>
      <c r="N257">
        <v>41756150</v>
      </c>
      <c r="O257" t="s">
        <v>1315</v>
      </c>
    </row>
    <row r="258" spans="1:19" x14ac:dyDescent="0.35">
      <c r="A258" s="1" t="s">
        <v>802</v>
      </c>
      <c r="B258" s="1" t="s">
        <v>4</v>
      </c>
      <c r="C258" s="1" t="s">
        <v>801</v>
      </c>
      <c r="D258" s="2">
        <v>42005</v>
      </c>
      <c r="E258" s="3">
        <v>3400000</v>
      </c>
      <c r="F258" s="3">
        <v>-3400000</v>
      </c>
      <c r="G258" s="3">
        <v>0</v>
      </c>
      <c r="H258" s="1" t="s">
        <v>0</v>
      </c>
      <c r="I258" s="1" t="s">
        <v>2</v>
      </c>
      <c r="J258" s="1" t="s">
        <v>24</v>
      </c>
      <c r="K258" s="2"/>
      <c r="L258" s="14">
        <v>47544018</v>
      </c>
      <c r="M258" t="s">
        <v>1281</v>
      </c>
      <c r="N258" s="12">
        <v>41754150</v>
      </c>
      <c r="O258" t="s">
        <v>1336</v>
      </c>
      <c r="S258" t="s">
        <v>1344</v>
      </c>
    </row>
    <row r="259" spans="1:19" x14ac:dyDescent="0.35">
      <c r="A259" s="1" t="s">
        <v>800</v>
      </c>
      <c r="B259" s="1" t="s">
        <v>4</v>
      </c>
      <c r="C259" s="1" t="s">
        <v>799</v>
      </c>
      <c r="D259" s="2">
        <v>42005</v>
      </c>
      <c r="E259" s="3">
        <v>3500000</v>
      </c>
      <c r="F259" s="3">
        <v>-3500000</v>
      </c>
      <c r="G259" s="3">
        <v>0</v>
      </c>
      <c r="H259" s="1" t="s">
        <v>0</v>
      </c>
      <c r="I259" s="1" t="s">
        <v>2</v>
      </c>
      <c r="J259" s="1" t="s">
        <v>76</v>
      </c>
      <c r="K259" s="2"/>
      <c r="L259" s="14">
        <v>47544015</v>
      </c>
      <c r="M259" t="s">
        <v>1280</v>
      </c>
      <c r="N259" s="12">
        <v>41754150</v>
      </c>
      <c r="O259" t="s">
        <v>1345</v>
      </c>
    </row>
    <row r="260" spans="1:19" hidden="1" x14ac:dyDescent="0.35">
      <c r="A260" s="1" t="s">
        <v>798</v>
      </c>
      <c r="B260" s="1" t="s">
        <v>4</v>
      </c>
      <c r="C260" s="1" t="s">
        <v>785</v>
      </c>
      <c r="D260" s="2">
        <v>42005</v>
      </c>
      <c r="E260" s="3">
        <v>3520000</v>
      </c>
      <c r="F260" s="3">
        <v>-3520000</v>
      </c>
      <c r="G260" s="3">
        <v>0</v>
      </c>
      <c r="H260" s="1" t="s">
        <v>0</v>
      </c>
      <c r="I260" s="1" t="s">
        <v>2</v>
      </c>
      <c r="J260" s="1" t="s">
        <v>355</v>
      </c>
      <c r="K260" s="2"/>
      <c r="L260" s="1">
        <v>47567015</v>
      </c>
      <c r="M260" t="s">
        <v>1272</v>
      </c>
      <c r="N260">
        <v>41756150</v>
      </c>
      <c r="O260" t="s">
        <v>1315</v>
      </c>
    </row>
    <row r="261" spans="1:19" x14ac:dyDescent="0.35">
      <c r="A261" s="1" t="s">
        <v>797</v>
      </c>
      <c r="B261" s="1" t="s">
        <v>4</v>
      </c>
      <c r="C261" s="1" t="s">
        <v>796</v>
      </c>
      <c r="D261" s="2">
        <v>42005</v>
      </c>
      <c r="E261" s="3">
        <v>4000000</v>
      </c>
      <c r="F261" s="3">
        <v>-4000000</v>
      </c>
      <c r="G261" s="3">
        <v>0</v>
      </c>
      <c r="H261" s="1" t="s">
        <v>0</v>
      </c>
      <c r="I261" s="1" t="s">
        <v>2</v>
      </c>
      <c r="J261" s="1" t="s">
        <v>76</v>
      </c>
      <c r="K261" s="2"/>
      <c r="L261" s="14">
        <v>47544032</v>
      </c>
      <c r="M261" t="s">
        <v>1277</v>
      </c>
      <c r="N261" s="12">
        <v>41754150</v>
      </c>
      <c r="O261" t="s">
        <v>1321</v>
      </c>
    </row>
    <row r="262" spans="1:19" x14ac:dyDescent="0.35">
      <c r="A262" s="1" t="s">
        <v>795</v>
      </c>
      <c r="B262" s="1" t="s">
        <v>4</v>
      </c>
      <c r="C262" s="1" t="s">
        <v>794</v>
      </c>
      <c r="D262" s="2">
        <v>42005</v>
      </c>
      <c r="E262" s="3">
        <v>4000000</v>
      </c>
      <c r="F262" s="3">
        <v>-4000000</v>
      </c>
      <c r="G262" s="3">
        <v>0</v>
      </c>
      <c r="H262" s="1" t="s">
        <v>0</v>
      </c>
      <c r="I262" s="1" t="s">
        <v>2</v>
      </c>
      <c r="J262" s="1" t="s">
        <v>24</v>
      </c>
      <c r="K262" s="2"/>
      <c r="L262" s="14">
        <v>47544011</v>
      </c>
      <c r="M262" t="s">
        <v>1276</v>
      </c>
      <c r="N262" s="12">
        <v>41754150</v>
      </c>
      <c r="O262" t="s">
        <v>1321</v>
      </c>
    </row>
    <row r="263" spans="1:19" hidden="1" x14ac:dyDescent="0.35">
      <c r="A263" s="1" t="s">
        <v>793</v>
      </c>
      <c r="B263" s="1" t="s">
        <v>4</v>
      </c>
      <c r="C263" s="1" t="s">
        <v>792</v>
      </c>
      <c r="D263" s="2">
        <v>42005</v>
      </c>
      <c r="E263" s="3">
        <v>3966080</v>
      </c>
      <c r="F263" s="3">
        <v>-3966080</v>
      </c>
      <c r="G263" s="3">
        <v>0</v>
      </c>
      <c r="H263" s="1" t="s">
        <v>0</v>
      </c>
      <c r="I263" s="1" t="s">
        <v>2</v>
      </c>
      <c r="J263" s="1" t="s">
        <v>355</v>
      </c>
      <c r="K263" s="2"/>
      <c r="L263" s="1">
        <v>47567015</v>
      </c>
      <c r="M263" t="s">
        <v>1272</v>
      </c>
      <c r="N263">
        <v>41756150</v>
      </c>
      <c r="O263" t="s">
        <v>1315</v>
      </c>
    </row>
    <row r="264" spans="1:19" x14ac:dyDescent="0.35">
      <c r="A264" s="1" t="s">
        <v>791</v>
      </c>
      <c r="B264" s="1" t="s">
        <v>4</v>
      </c>
      <c r="C264" s="1" t="s">
        <v>790</v>
      </c>
      <c r="D264" s="2">
        <v>42005</v>
      </c>
      <c r="E264" s="3">
        <v>4000000</v>
      </c>
      <c r="F264" s="3">
        <v>-4000000</v>
      </c>
      <c r="G264" s="3">
        <v>0</v>
      </c>
      <c r="H264" s="1" t="s">
        <v>0</v>
      </c>
      <c r="I264" s="1" t="s">
        <v>2</v>
      </c>
      <c r="J264" s="1" t="s">
        <v>76</v>
      </c>
      <c r="K264" s="2"/>
      <c r="L264" s="14">
        <v>47544032</v>
      </c>
      <c r="M264" t="s">
        <v>1277</v>
      </c>
      <c r="N264" s="12">
        <v>41754150</v>
      </c>
      <c r="O264" t="s">
        <v>1321</v>
      </c>
    </row>
    <row r="265" spans="1:19" x14ac:dyDescent="0.35">
      <c r="A265" s="1" t="s">
        <v>789</v>
      </c>
      <c r="B265" s="1" t="s">
        <v>4</v>
      </c>
      <c r="C265" s="1" t="s">
        <v>788</v>
      </c>
      <c r="D265" s="2">
        <v>42005</v>
      </c>
      <c r="E265" s="3">
        <v>4000000</v>
      </c>
      <c r="F265" s="3">
        <v>-4000000</v>
      </c>
      <c r="G265" s="3">
        <v>0</v>
      </c>
      <c r="H265" s="1" t="s">
        <v>0</v>
      </c>
      <c r="I265" s="1" t="s">
        <v>2</v>
      </c>
      <c r="J265" s="1" t="s">
        <v>76</v>
      </c>
      <c r="K265" s="2"/>
      <c r="L265" s="14">
        <v>47544032</v>
      </c>
      <c r="M265" t="s">
        <v>1277</v>
      </c>
      <c r="N265" s="12">
        <v>41754150</v>
      </c>
      <c r="O265" t="s">
        <v>1321</v>
      </c>
    </row>
    <row r="266" spans="1:19" hidden="1" x14ac:dyDescent="0.35">
      <c r="A266" s="1" t="s">
        <v>787</v>
      </c>
      <c r="B266" s="1" t="s">
        <v>4</v>
      </c>
      <c r="C266" s="1" t="s">
        <v>785</v>
      </c>
      <c r="D266" s="2">
        <v>42005</v>
      </c>
      <c r="E266" s="3">
        <v>4224000</v>
      </c>
      <c r="F266" s="3">
        <v>-4224000</v>
      </c>
      <c r="G266" s="3">
        <v>0</v>
      </c>
      <c r="H266" s="1" t="s">
        <v>0</v>
      </c>
      <c r="I266" s="1" t="s">
        <v>2</v>
      </c>
      <c r="J266" s="1" t="s">
        <v>355</v>
      </c>
      <c r="K266" s="2"/>
      <c r="L266" s="1">
        <v>47567015</v>
      </c>
      <c r="M266" t="s">
        <v>1272</v>
      </c>
      <c r="N266">
        <v>41756150</v>
      </c>
      <c r="O266" t="s">
        <v>1315</v>
      </c>
    </row>
    <row r="267" spans="1:19" hidden="1" x14ac:dyDescent="0.35">
      <c r="A267" s="1" t="s">
        <v>786</v>
      </c>
      <c r="B267" s="1" t="s">
        <v>4</v>
      </c>
      <c r="C267" s="1" t="s">
        <v>785</v>
      </c>
      <c r="D267" s="2">
        <v>42005</v>
      </c>
      <c r="E267" s="3">
        <v>4224000</v>
      </c>
      <c r="F267" s="3">
        <v>-4224000</v>
      </c>
      <c r="G267" s="3">
        <v>0</v>
      </c>
      <c r="H267" s="1" t="s">
        <v>0</v>
      </c>
      <c r="I267" s="1" t="s">
        <v>2</v>
      </c>
      <c r="J267" s="1" t="s">
        <v>355</v>
      </c>
      <c r="K267" s="2"/>
      <c r="L267" s="1">
        <v>47567015</v>
      </c>
      <c r="M267" t="s">
        <v>1272</v>
      </c>
      <c r="N267">
        <v>41756150</v>
      </c>
      <c r="O267" t="s">
        <v>1315</v>
      </c>
    </row>
    <row r="268" spans="1:19" hidden="1" x14ac:dyDescent="0.35">
      <c r="A268" s="1" t="s">
        <v>784</v>
      </c>
      <c r="B268" s="1" t="s">
        <v>4</v>
      </c>
      <c r="C268" s="1" t="s">
        <v>783</v>
      </c>
      <c r="D268" s="2">
        <v>42005</v>
      </c>
      <c r="E268" s="3">
        <v>4300000</v>
      </c>
      <c r="F268" s="3">
        <v>-4300000</v>
      </c>
      <c r="G268" s="3">
        <v>0</v>
      </c>
      <c r="H268" s="1" t="s">
        <v>0</v>
      </c>
      <c r="I268" s="1" t="s">
        <v>2</v>
      </c>
      <c r="J268" s="1" t="s">
        <v>355</v>
      </c>
      <c r="K268" s="2"/>
      <c r="L268" s="1">
        <v>47567015</v>
      </c>
      <c r="M268" t="s">
        <v>1272</v>
      </c>
      <c r="N268">
        <v>41756150</v>
      </c>
      <c r="O268" t="s">
        <v>1315</v>
      </c>
    </row>
    <row r="269" spans="1:19" x14ac:dyDescent="0.35">
      <c r="A269" s="1" t="s">
        <v>782</v>
      </c>
      <c r="B269" s="1" t="s">
        <v>4</v>
      </c>
      <c r="C269" s="1" t="s">
        <v>781</v>
      </c>
      <c r="D269" s="2">
        <v>42005</v>
      </c>
      <c r="E269" s="3">
        <v>4400000</v>
      </c>
      <c r="F269" s="3">
        <v>-4200196</v>
      </c>
      <c r="G269" s="3">
        <v>199804</v>
      </c>
      <c r="H269" s="1" t="s">
        <v>0</v>
      </c>
      <c r="I269" s="1" t="s">
        <v>2</v>
      </c>
      <c r="J269" s="1" t="s">
        <v>76</v>
      </c>
      <c r="K269" s="2"/>
      <c r="L269" s="14">
        <v>47544032</v>
      </c>
      <c r="M269" t="s">
        <v>1277</v>
      </c>
      <c r="N269" s="12">
        <v>41754150</v>
      </c>
      <c r="O269" t="s">
        <v>1321</v>
      </c>
    </row>
    <row r="270" spans="1:19" x14ac:dyDescent="0.35">
      <c r="A270" s="1" t="s">
        <v>780</v>
      </c>
      <c r="B270" s="1" t="s">
        <v>4</v>
      </c>
      <c r="C270" s="1" t="s">
        <v>779</v>
      </c>
      <c r="D270" s="2">
        <v>42005</v>
      </c>
      <c r="E270" s="3">
        <v>582414</v>
      </c>
      <c r="F270" s="3">
        <v>-582414</v>
      </c>
      <c r="G270" s="3">
        <v>0</v>
      </c>
      <c r="H270" s="1" t="s">
        <v>0</v>
      </c>
      <c r="I270" s="1" t="s">
        <v>2</v>
      </c>
      <c r="J270" s="1" t="s">
        <v>76</v>
      </c>
      <c r="K270" s="2"/>
      <c r="L270" s="14">
        <v>47544018</v>
      </c>
      <c r="M270" t="s">
        <v>1281</v>
      </c>
      <c r="N270" s="12">
        <v>41754150</v>
      </c>
      <c r="O270" t="s">
        <v>1347</v>
      </c>
    </row>
    <row r="271" spans="1:19" x14ac:dyDescent="0.35">
      <c r="A271" s="1" t="s">
        <v>778</v>
      </c>
      <c r="B271" s="1" t="s">
        <v>4</v>
      </c>
      <c r="C271" s="1" t="s">
        <v>777</v>
      </c>
      <c r="D271" s="2">
        <v>42005</v>
      </c>
      <c r="E271" s="3">
        <v>5000000</v>
      </c>
      <c r="F271" s="3">
        <v>-5000000</v>
      </c>
      <c r="G271" s="3">
        <v>0</v>
      </c>
      <c r="H271" s="1" t="s">
        <v>0</v>
      </c>
      <c r="I271" s="1" t="s">
        <v>2</v>
      </c>
      <c r="J271" s="1" t="s">
        <v>76</v>
      </c>
      <c r="K271" s="2"/>
      <c r="L271" s="14">
        <v>47544023</v>
      </c>
      <c r="M271" t="s">
        <v>1288</v>
      </c>
      <c r="N271" s="12">
        <v>41754150</v>
      </c>
      <c r="O271" t="s">
        <v>1346</v>
      </c>
    </row>
    <row r="272" spans="1:19" x14ac:dyDescent="0.35">
      <c r="A272" s="1" t="s">
        <v>776</v>
      </c>
      <c r="B272" s="1" t="s">
        <v>4</v>
      </c>
      <c r="C272" s="1" t="s">
        <v>775</v>
      </c>
      <c r="D272" s="2">
        <v>42005</v>
      </c>
      <c r="E272" s="3">
        <v>5000000</v>
      </c>
      <c r="F272" s="3">
        <v>-5000000</v>
      </c>
      <c r="G272" s="3">
        <v>0</v>
      </c>
      <c r="H272" s="1" t="s">
        <v>0</v>
      </c>
      <c r="I272" s="1" t="s">
        <v>2</v>
      </c>
      <c r="J272" s="1" t="s">
        <v>76</v>
      </c>
      <c r="K272" s="2"/>
      <c r="L272" s="14">
        <v>47544021</v>
      </c>
      <c r="M272" t="s">
        <v>1282</v>
      </c>
      <c r="N272" s="12">
        <v>41754150</v>
      </c>
      <c r="O272" t="s">
        <v>1351</v>
      </c>
    </row>
    <row r="273" spans="1:15" x14ac:dyDescent="0.35">
      <c r="A273" s="1" t="s">
        <v>774</v>
      </c>
      <c r="B273" s="1" t="s">
        <v>4</v>
      </c>
      <c r="C273" s="1" t="s">
        <v>773</v>
      </c>
      <c r="D273" s="2">
        <v>42005</v>
      </c>
      <c r="E273" s="3">
        <v>87362</v>
      </c>
      <c r="F273" s="3">
        <v>-87362</v>
      </c>
      <c r="G273" s="3">
        <v>0</v>
      </c>
      <c r="H273" s="1" t="s">
        <v>0</v>
      </c>
      <c r="I273" s="1" t="s">
        <v>2</v>
      </c>
      <c r="J273" s="1" t="s">
        <v>76</v>
      </c>
      <c r="K273" s="2"/>
      <c r="L273" s="14">
        <v>47544025</v>
      </c>
      <c r="M273" t="s">
        <v>1278</v>
      </c>
      <c r="N273" s="12">
        <v>41754150</v>
      </c>
      <c r="O273" t="s">
        <v>1341</v>
      </c>
    </row>
    <row r="274" spans="1:15" x14ac:dyDescent="0.35">
      <c r="A274" s="1" t="s">
        <v>772</v>
      </c>
      <c r="B274" s="1" t="s">
        <v>4</v>
      </c>
      <c r="C274" s="1" t="s">
        <v>771</v>
      </c>
      <c r="D274" s="2">
        <v>42005</v>
      </c>
      <c r="E274" s="3">
        <v>5428800</v>
      </c>
      <c r="F274" s="3">
        <v>-4642567</v>
      </c>
      <c r="G274" s="3">
        <v>786233</v>
      </c>
      <c r="H274" s="1" t="s">
        <v>0</v>
      </c>
      <c r="I274" s="1" t="s">
        <v>2</v>
      </c>
      <c r="J274" s="1" t="s">
        <v>24</v>
      </c>
      <c r="K274" s="2"/>
      <c r="L274" s="20">
        <v>47544013</v>
      </c>
      <c r="M274" t="s">
        <v>1284</v>
      </c>
      <c r="N274" s="12">
        <v>41754150</v>
      </c>
      <c r="O274" t="s">
        <v>1317</v>
      </c>
    </row>
    <row r="275" spans="1:15" x14ac:dyDescent="0.35">
      <c r="A275" s="1" t="s">
        <v>770</v>
      </c>
      <c r="B275" s="1" t="s">
        <v>4</v>
      </c>
      <c r="C275" s="1" t="s">
        <v>769</v>
      </c>
      <c r="D275" s="2">
        <v>42005</v>
      </c>
      <c r="E275" s="3">
        <v>5428800</v>
      </c>
      <c r="F275" s="3">
        <v>-4681881</v>
      </c>
      <c r="G275" s="3">
        <v>746919</v>
      </c>
      <c r="H275" s="1" t="s">
        <v>0</v>
      </c>
      <c r="I275" s="1" t="s">
        <v>2</v>
      </c>
      <c r="J275" s="1" t="s">
        <v>24</v>
      </c>
      <c r="K275" s="2"/>
      <c r="L275" s="20">
        <v>47544013</v>
      </c>
      <c r="M275" t="s">
        <v>1284</v>
      </c>
      <c r="N275" s="12">
        <v>41754150</v>
      </c>
      <c r="O275" t="s">
        <v>1317</v>
      </c>
    </row>
    <row r="276" spans="1:15" x14ac:dyDescent="0.35">
      <c r="A276" s="1" t="s">
        <v>768</v>
      </c>
      <c r="B276" s="1" t="s">
        <v>4</v>
      </c>
      <c r="C276" s="1" t="s">
        <v>767</v>
      </c>
      <c r="D276" s="2">
        <v>42005</v>
      </c>
      <c r="E276" s="3">
        <v>5428800</v>
      </c>
      <c r="F276" s="3">
        <v>-4681881</v>
      </c>
      <c r="G276" s="3">
        <v>746919</v>
      </c>
      <c r="H276" s="1" t="s">
        <v>0</v>
      </c>
      <c r="I276" s="1" t="s">
        <v>2</v>
      </c>
      <c r="J276" s="1" t="s">
        <v>24</v>
      </c>
      <c r="K276" s="2"/>
      <c r="L276" s="20">
        <v>47544013</v>
      </c>
      <c r="M276" t="s">
        <v>1284</v>
      </c>
      <c r="N276" s="12">
        <v>41754150</v>
      </c>
      <c r="O276" t="s">
        <v>1317</v>
      </c>
    </row>
    <row r="277" spans="1:15" hidden="1" x14ac:dyDescent="0.35">
      <c r="A277" s="1" t="s">
        <v>766</v>
      </c>
      <c r="B277" s="1" t="s">
        <v>4</v>
      </c>
      <c r="C277" s="1" t="s">
        <v>765</v>
      </c>
      <c r="D277" s="2">
        <v>42005</v>
      </c>
      <c r="E277" s="3">
        <v>5984000</v>
      </c>
      <c r="F277" s="3">
        <v>-5984000</v>
      </c>
      <c r="G277" s="3">
        <v>0</v>
      </c>
      <c r="H277" s="1" t="s">
        <v>0</v>
      </c>
      <c r="I277" s="1" t="s">
        <v>2</v>
      </c>
      <c r="J277" s="1" t="s">
        <v>355</v>
      </c>
      <c r="K277" s="2"/>
      <c r="L277" s="1">
        <v>47567015</v>
      </c>
      <c r="M277" t="s">
        <v>1272</v>
      </c>
      <c r="N277">
        <v>41756150</v>
      </c>
      <c r="O277" t="s">
        <v>1315</v>
      </c>
    </row>
    <row r="278" spans="1:15" x14ac:dyDescent="0.35">
      <c r="A278" s="1" t="s">
        <v>764</v>
      </c>
      <c r="B278" s="1" t="s">
        <v>4</v>
      </c>
      <c r="C278" s="1" t="s">
        <v>763</v>
      </c>
      <c r="D278" s="2">
        <v>42005</v>
      </c>
      <c r="E278" s="17">
        <v>6000000</v>
      </c>
      <c r="F278" s="17">
        <v>-6000000</v>
      </c>
      <c r="G278" s="17">
        <v>0</v>
      </c>
      <c r="H278" s="1" t="s">
        <v>0</v>
      </c>
      <c r="I278" s="1" t="s">
        <v>2</v>
      </c>
      <c r="J278" s="16" t="s">
        <v>24</v>
      </c>
      <c r="K278" s="2"/>
      <c r="L278" s="14">
        <v>47544024</v>
      </c>
      <c r="M278" t="s">
        <v>1275</v>
      </c>
      <c r="N278" s="12">
        <v>41754150</v>
      </c>
      <c r="O278" t="s">
        <v>1356</v>
      </c>
    </row>
    <row r="279" spans="1:15" x14ac:dyDescent="0.35">
      <c r="A279" s="1" t="s">
        <v>762</v>
      </c>
      <c r="B279" s="1" t="s">
        <v>4</v>
      </c>
      <c r="C279" s="1" t="s">
        <v>761</v>
      </c>
      <c r="D279" s="2">
        <v>42005</v>
      </c>
      <c r="E279" s="3">
        <v>203845</v>
      </c>
      <c r="F279" s="3">
        <v>-203845</v>
      </c>
      <c r="G279" s="3">
        <v>0</v>
      </c>
      <c r="H279" s="1" t="s">
        <v>0</v>
      </c>
      <c r="I279" s="1" t="s">
        <v>2</v>
      </c>
      <c r="J279" s="1" t="s">
        <v>76</v>
      </c>
      <c r="K279" s="2"/>
      <c r="L279" s="14">
        <v>47544018</v>
      </c>
      <c r="M279" t="s">
        <v>1281</v>
      </c>
      <c r="N279" s="12">
        <v>41754150</v>
      </c>
      <c r="O279" t="s">
        <v>1347</v>
      </c>
    </row>
    <row r="280" spans="1:15" x14ac:dyDescent="0.35">
      <c r="A280" s="1" t="s">
        <v>760</v>
      </c>
      <c r="B280" s="1" t="s">
        <v>4</v>
      </c>
      <c r="C280" s="1" t="s">
        <v>759</v>
      </c>
      <c r="D280" s="2">
        <v>42005</v>
      </c>
      <c r="E280" s="3">
        <v>7000000</v>
      </c>
      <c r="F280" s="3">
        <v>-6034492</v>
      </c>
      <c r="G280" s="3">
        <v>965508</v>
      </c>
      <c r="H280" s="1" t="s">
        <v>0</v>
      </c>
      <c r="I280" s="1" t="s">
        <v>2</v>
      </c>
      <c r="J280" s="1" t="s">
        <v>24</v>
      </c>
      <c r="K280" s="2"/>
      <c r="L280" s="20">
        <v>47544013</v>
      </c>
      <c r="M280" t="s">
        <v>1284</v>
      </c>
      <c r="N280" s="12">
        <v>41754150</v>
      </c>
      <c r="O280" t="s">
        <v>1317</v>
      </c>
    </row>
    <row r="281" spans="1:15" x14ac:dyDescent="0.35">
      <c r="A281" s="1" t="s">
        <v>758</v>
      </c>
      <c r="B281" s="1" t="s">
        <v>4</v>
      </c>
      <c r="C281" s="1" t="s">
        <v>757</v>
      </c>
      <c r="D281" s="2">
        <v>42005</v>
      </c>
      <c r="E281" s="3">
        <v>8400000</v>
      </c>
      <c r="F281" s="3">
        <v>-8400000</v>
      </c>
      <c r="G281" s="3">
        <v>0</v>
      </c>
      <c r="H281" s="1" t="s">
        <v>0</v>
      </c>
      <c r="I281" s="1" t="s">
        <v>2</v>
      </c>
      <c r="J281" s="1" t="s">
        <v>24</v>
      </c>
      <c r="K281" s="2"/>
      <c r="L281" s="14">
        <v>47544032</v>
      </c>
      <c r="M281" t="s">
        <v>1277</v>
      </c>
      <c r="N281" s="12">
        <v>41754150</v>
      </c>
      <c r="O281" t="s">
        <v>1345</v>
      </c>
    </row>
    <row r="282" spans="1:15" x14ac:dyDescent="0.35">
      <c r="A282" s="1" t="s">
        <v>756</v>
      </c>
      <c r="B282" s="1" t="s">
        <v>4</v>
      </c>
      <c r="C282" s="1" t="s">
        <v>755</v>
      </c>
      <c r="D282" s="2">
        <v>42005</v>
      </c>
      <c r="E282" s="3">
        <v>10000000</v>
      </c>
      <c r="F282" s="3">
        <v>-10000000</v>
      </c>
      <c r="G282" s="3">
        <v>0</v>
      </c>
      <c r="H282" s="1" t="s">
        <v>0</v>
      </c>
      <c r="I282" s="1" t="s">
        <v>2</v>
      </c>
      <c r="J282" s="1" t="s">
        <v>76</v>
      </c>
      <c r="K282" s="2"/>
      <c r="L282" s="14">
        <v>47567064</v>
      </c>
      <c r="M282" t="s">
        <v>1271</v>
      </c>
      <c r="N282" s="12">
        <v>41756150</v>
      </c>
      <c r="O282" t="s">
        <v>1321</v>
      </c>
    </row>
    <row r="283" spans="1:15" hidden="1" x14ac:dyDescent="0.35">
      <c r="A283" s="1" t="s">
        <v>754</v>
      </c>
      <c r="B283" s="1" t="s">
        <v>4</v>
      </c>
      <c r="C283" s="1" t="s">
        <v>753</v>
      </c>
      <c r="D283" s="2">
        <v>42005</v>
      </c>
      <c r="E283" s="3">
        <v>10560000</v>
      </c>
      <c r="F283" s="3">
        <v>-10560000</v>
      </c>
      <c r="G283" s="3">
        <v>0</v>
      </c>
      <c r="H283" s="1" t="s">
        <v>0</v>
      </c>
      <c r="I283" s="1" t="s">
        <v>2</v>
      </c>
      <c r="J283" s="1" t="s">
        <v>355</v>
      </c>
      <c r="K283" s="2"/>
      <c r="L283" s="1">
        <v>47567015</v>
      </c>
      <c r="M283" t="s">
        <v>1272</v>
      </c>
      <c r="N283">
        <v>41756150</v>
      </c>
      <c r="O283" t="s">
        <v>1315</v>
      </c>
    </row>
    <row r="284" spans="1:15" x14ac:dyDescent="0.35">
      <c r="A284" s="1" t="s">
        <v>752</v>
      </c>
      <c r="B284" s="1" t="s">
        <v>4</v>
      </c>
      <c r="C284" s="1" t="s">
        <v>751</v>
      </c>
      <c r="D284" s="2">
        <v>42005</v>
      </c>
      <c r="E284" s="3">
        <v>15000000</v>
      </c>
      <c r="F284" s="3">
        <v>-15000000</v>
      </c>
      <c r="G284" s="3">
        <v>0</v>
      </c>
      <c r="H284" s="1" t="s">
        <v>0</v>
      </c>
      <c r="I284" s="1" t="s">
        <v>2</v>
      </c>
      <c r="J284" s="1" t="s">
        <v>76</v>
      </c>
      <c r="K284" s="2"/>
      <c r="L284" s="14">
        <v>47544023</v>
      </c>
      <c r="M284" t="s">
        <v>1288</v>
      </c>
      <c r="N284" s="12">
        <v>41754150</v>
      </c>
      <c r="O284" t="s">
        <v>1356</v>
      </c>
    </row>
    <row r="285" spans="1:15" x14ac:dyDescent="0.35">
      <c r="A285" s="1" t="s">
        <v>750</v>
      </c>
      <c r="B285" s="1" t="s">
        <v>4</v>
      </c>
      <c r="C285" s="1" t="s">
        <v>749</v>
      </c>
      <c r="D285" s="2">
        <v>42005</v>
      </c>
      <c r="E285" s="3">
        <v>436811</v>
      </c>
      <c r="F285" s="3">
        <v>-436811</v>
      </c>
      <c r="G285" s="3">
        <v>0</v>
      </c>
      <c r="H285" s="1" t="s">
        <v>0</v>
      </c>
      <c r="I285" s="1" t="s">
        <v>2</v>
      </c>
      <c r="J285" s="1" t="s">
        <v>76</v>
      </c>
      <c r="K285" s="2"/>
      <c r="L285" s="14">
        <v>47544032</v>
      </c>
      <c r="M285" t="s">
        <v>1277</v>
      </c>
      <c r="N285" s="12">
        <v>41754150</v>
      </c>
      <c r="O285" t="s">
        <v>1321</v>
      </c>
    </row>
    <row r="286" spans="1:15" x14ac:dyDescent="0.35">
      <c r="A286" s="1" t="s">
        <v>750</v>
      </c>
      <c r="B286" s="1" t="s">
        <v>23</v>
      </c>
      <c r="C286" s="1" t="s">
        <v>749</v>
      </c>
      <c r="D286" s="2">
        <v>44546</v>
      </c>
      <c r="E286" s="3">
        <v>12684951</v>
      </c>
      <c r="F286" s="3">
        <v>-5546624</v>
      </c>
      <c r="G286" s="3">
        <v>7138327</v>
      </c>
      <c r="H286" s="1" t="s">
        <v>0</v>
      </c>
      <c r="I286" s="1" t="s">
        <v>2</v>
      </c>
      <c r="J286" s="1" t="s">
        <v>76</v>
      </c>
      <c r="K286" s="2"/>
      <c r="L286" s="14">
        <v>47544032</v>
      </c>
      <c r="M286" t="s">
        <v>1277</v>
      </c>
      <c r="N286" s="12">
        <v>41754150</v>
      </c>
      <c r="O286" t="s">
        <v>1321</v>
      </c>
    </row>
    <row r="287" spans="1:15" x14ac:dyDescent="0.35">
      <c r="A287" s="1" t="s">
        <v>748</v>
      </c>
      <c r="B287" s="1" t="s">
        <v>4</v>
      </c>
      <c r="C287" s="1" t="s">
        <v>747</v>
      </c>
      <c r="D287" s="2">
        <v>42005</v>
      </c>
      <c r="E287" s="3">
        <v>15000000</v>
      </c>
      <c r="F287" s="3">
        <v>-15000000</v>
      </c>
      <c r="G287" s="3">
        <v>0</v>
      </c>
      <c r="H287" s="1" t="s">
        <v>0</v>
      </c>
      <c r="I287" s="1" t="s">
        <v>2</v>
      </c>
      <c r="J287" s="1" t="s">
        <v>76</v>
      </c>
      <c r="K287" s="2"/>
      <c r="L287" s="14">
        <v>47544015</v>
      </c>
      <c r="M287" t="s">
        <v>1280</v>
      </c>
      <c r="N287" s="12">
        <v>41754150</v>
      </c>
      <c r="O287" t="s">
        <v>1340</v>
      </c>
    </row>
    <row r="288" spans="1:15" x14ac:dyDescent="0.35">
      <c r="A288" s="1" t="s">
        <v>746</v>
      </c>
      <c r="B288" s="1" t="s">
        <v>4</v>
      </c>
      <c r="C288" s="1" t="s">
        <v>745</v>
      </c>
      <c r="D288" s="2">
        <v>42005</v>
      </c>
      <c r="E288" s="3">
        <v>17000000</v>
      </c>
      <c r="F288" s="3">
        <v>-17000000</v>
      </c>
      <c r="G288" s="3">
        <v>0</v>
      </c>
      <c r="H288" s="1" t="s">
        <v>0</v>
      </c>
      <c r="I288" s="1" t="s">
        <v>2</v>
      </c>
      <c r="J288" s="1" t="s">
        <v>76</v>
      </c>
      <c r="K288" s="2"/>
      <c r="L288" s="14">
        <v>47544023</v>
      </c>
      <c r="M288" t="s">
        <v>1288</v>
      </c>
      <c r="N288" s="12">
        <v>41754150</v>
      </c>
      <c r="O288" t="s">
        <v>1346</v>
      </c>
    </row>
    <row r="289" spans="1:15" x14ac:dyDescent="0.35">
      <c r="A289" s="1" t="s">
        <v>743</v>
      </c>
      <c r="B289" s="1" t="s">
        <v>4</v>
      </c>
      <c r="C289" s="1" t="s">
        <v>744</v>
      </c>
      <c r="D289" s="2">
        <v>42005</v>
      </c>
      <c r="E289" s="3">
        <v>17000000</v>
      </c>
      <c r="F289" s="3">
        <v>-17000000</v>
      </c>
      <c r="G289" s="3">
        <v>0</v>
      </c>
      <c r="H289" s="1" t="s">
        <v>0</v>
      </c>
      <c r="I289" s="1" t="s">
        <v>2</v>
      </c>
      <c r="J289" s="1" t="s">
        <v>76</v>
      </c>
      <c r="K289" s="2"/>
      <c r="L289" s="14">
        <v>47567102</v>
      </c>
      <c r="M289" t="s">
        <v>1273</v>
      </c>
      <c r="N289" s="12">
        <v>41756150</v>
      </c>
      <c r="O289" t="s">
        <v>1340</v>
      </c>
    </row>
    <row r="290" spans="1:15" x14ac:dyDescent="0.35">
      <c r="A290" s="1" t="s">
        <v>743</v>
      </c>
      <c r="B290" s="1" t="s">
        <v>23</v>
      </c>
      <c r="C290" s="1" t="s">
        <v>742</v>
      </c>
      <c r="D290" s="2">
        <v>44953</v>
      </c>
      <c r="E290" s="3">
        <v>24100000</v>
      </c>
      <c r="F290" s="3">
        <v>-7850658</v>
      </c>
      <c r="G290" s="3">
        <v>16249342</v>
      </c>
      <c r="H290" s="1" t="s">
        <v>0</v>
      </c>
      <c r="I290" s="1" t="s">
        <v>2</v>
      </c>
      <c r="J290" s="1" t="s">
        <v>76</v>
      </c>
      <c r="K290" s="2"/>
      <c r="L290" s="14">
        <v>47544015</v>
      </c>
      <c r="M290" t="s">
        <v>1280</v>
      </c>
      <c r="N290" s="12">
        <v>41754150</v>
      </c>
      <c r="O290" t="s">
        <v>1340</v>
      </c>
    </row>
    <row r="291" spans="1:15" x14ac:dyDescent="0.35">
      <c r="A291" s="1" t="s">
        <v>741</v>
      </c>
      <c r="B291" s="1" t="s">
        <v>4</v>
      </c>
      <c r="C291" s="1" t="s">
        <v>740</v>
      </c>
      <c r="D291" s="2">
        <v>42005</v>
      </c>
      <c r="E291" s="3">
        <v>17111600</v>
      </c>
      <c r="F291" s="3">
        <v>-16345874</v>
      </c>
      <c r="G291" s="3">
        <v>765726</v>
      </c>
      <c r="H291" s="1" t="s">
        <v>0</v>
      </c>
      <c r="I291" s="1" t="s">
        <v>2</v>
      </c>
      <c r="J291" s="1" t="s">
        <v>76</v>
      </c>
      <c r="K291" s="2"/>
      <c r="L291" s="14">
        <v>47544032</v>
      </c>
      <c r="M291" t="s">
        <v>1277</v>
      </c>
      <c r="N291" s="12">
        <v>41754150</v>
      </c>
      <c r="O291" t="s">
        <v>1321</v>
      </c>
    </row>
    <row r="292" spans="1:15" x14ac:dyDescent="0.35">
      <c r="A292" s="1" t="s">
        <v>739</v>
      </c>
      <c r="B292" s="1" t="s">
        <v>4</v>
      </c>
      <c r="C292" s="1" t="s">
        <v>738</v>
      </c>
      <c r="D292" s="2">
        <v>42005</v>
      </c>
      <c r="E292" s="3">
        <v>18324500</v>
      </c>
      <c r="F292" s="3">
        <v>-17504498</v>
      </c>
      <c r="G292" s="3">
        <v>820002</v>
      </c>
      <c r="H292" s="1" t="s">
        <v>0</v>
      </c>
      <c r="I292" s="1" t="s">
        <v>2</v>
      </c>
      <c r="J292" s="1" t="s">
        <v>76</v>
      </c>
      <c r="K292" s="2"/>
      <c r="L292" s="14">
        <v>47544032</v>
      </c>
      <c r="M292" t="s">
        <v>1277</v>
      </c>
      <c r="N292" s="12">
        <v>41754150</v>
      </c>
      <c r="O292" t="s">
        <v>1321</v>
      </c>
    </row>
    <row r="293" spans="1:15" x14ac:dyDescent="0.35">
      <c r="A293" s="1" t="s">
        <v>737</v>
      </c>
      <c r="B293" s="1" t="s">
        <v>4</v>
      </c>
      <c r="C293" s="1" t="s">
        <v>736</v>
      </c>
      <c r="D293" s="2">
        <v>42005</v>
      </c>
      <c r="E293" s="3">
        <v>49126379</v>
      </c>
      <c r="F293" s="3">
        <v>-49126379</v>
      </c>
      <c r="G293" s="3">
        <v>0</v>
      </c>
      <c r="H293" s="1" t="s">
        <v>0</v>
      </c>
      <c r="I293" s="1" t="s">
        <v>2</v>
      </c>
      <c r="J293" s="1" t="s">
        <v>76</v>
      </c>
      <c r="K293" s="2"/>
      <c r="L293" s="14">
        <v>47544021</v>
      </c>
      <c r="M293" t="s">
        <v>1282</v>
      </c>
      <c r="N293" s="12">
        <v>41754150</v>
      </c>
      <c r="O293" t="s">
        <v>1342</v>
      </c>
    </row>
    <row r="294" spans="1:15" x14ac:dyDescent="0.35">
      <c r="A294" s="1" t="s">
        <v>735</v>
      </c>
      <c r="B294" s="1" t="s">
        <v>4</v>
      </c>
      <c r="C294" s="1" t="s">
        <v>734</v>
      </c>
      <c r="D294" s="2">
        <v>42005</v>
      </c>
      <c r="E294" s="3">
        <v>25000000</v>
      </c>
      <c r="F294" s="3">
        <v>-25000000</v>
      </c>
      <c r="G294" s="3">
        <v>0</v>
      </c>
      <c r="H294" s="1" t="s">
        <v>0</v>
      </c>
      <c r="I294" s="1" t="s">
        <v>2</v>
      </c>
      <c r="J294" s="1" t="s">
        <v>76</v>
      </c>
      <c r="K294" s="2"/>
      <c r="L294" s="14">
        <v>47544021</v>
      </c>
      <c r="M294" t="s">
        <v>1282</v>
      </c>
      <c r="N294" s="12">
        <v>41754150</v>
      </c>
      <c r="O294" t="s">
        <v>1345</v>
      </c>
    </row>
    <row r="295" spans="1:15" x14ac:dyDescent="0.35">
      <c r="A295" s="1" t="s">
        <v>733</v>
      </c>
      <c r="B295" s="1" t="s">
        <v>4</v>
      </c>
      <c r="C295" s="1" t="s">
        <v>732</v>
      </c>
      <c r="D295" s="2">
        <v>42005</v>
      </c>
      <c r="E295" s="3">
        <v>26538159</v>
      </c>
      <c r="F295" s="3">
        <v>-26538159</v>
      </c>
      <c r="G295" s="3">
        <v>0</v>
      </c>
      <c r="H295" s="1" t="s">
        <v>0</v>
      </c>
      <c r="I295" s="1" t="s">
        <v>2</v>
      </c>
      <c r="J295" s="1" t="s">
        <v>76</v>
      </c>
      <c r="K295" s="2"/>
      <c r="L295" s="14">
        <v>47544025</v>
      </c>
      <c r="M295" t="s">
        <v>1278</v>
      </c>
      <c r="N295" s="12">
        <v>41754150</v>
      </c>
      <c r="O295" t="s">
        <v>1339</v>
      </c>
    </row>
    <row r="296" spans="1:15" x14ac:dyDescent="0.35">
      <c r="A296" s="1" t="s">
        <v>731</v>
      </c>
      <c r="B296" s="1" t="s">
        <v>4</v>
      </c>
      <c r="C296" s="1" t="s">
        <v>730</v>
      </c>
      <c r="D296" s="2">
        <v>42005</v>
      </c>
      <c r="E296" s="3">
        <v>30000000</v>
      </c>
      <c r="F296" s="3">
        <v>-30000000</v>
      </c>
      <c r="G296" s="3">
        <v>0</v>
      </c>
      <c r="H296" s="1" t="s">
        <v>0</v>
      </c>
      <c r="I296" s="1" t="s">
        <v>2</v>
      </c>
      <c r="J296" s="1" t="s">
        <v>76</v>
      </c>
      <c r="K296" s="2"/>
      <c r="L296" s="14">
        <v>47544021</v>
      </c>
      <c r="M296" t="s">
        <v>1282</v>
      </c>
      <c r="N296" s="12">
        <v>41754150</v>
      </c>
      <c r="O296" t="s">
        <v>1342</v>
      </c>
    </row>
    <row r="297" spans="1:15" x14ac:dyDescent="0.35">
      <c r="A297" s="1" t="s">
        <v>729</v>
      </c>
      <c r="B297" s="1" t="s">
        <v>4</v>
      </c>
      <c r="C297" s="1" t="s">
        <v>728</v>
      </c>
      <c r="D297" s="2">
        <v>42005</v>
      </c>
      <c r="E297" s="3">
        <v>30000000</v>
      </c>
      <c r="F297" s="3">
        <v>-30000000</v>
      </c>
      <c r="G297" s="3">
        <v>0</v>
      </c>
      <c r="H297" s="1" t="s">
        <v>0</v>
      </c>
      <c r="I297" s="1" t="s">
        <v>2</v>
      </c>
      <c r="J297" s="1" t="s">
        <v>76</v>
      </c>
      <c r="K297" s="2"/>
      <c r="L297" s="14">
        <v>47544032</v>
      </c>
      <c r="M297" t="s">
        <v>1277</v>
      </c>
      <c r="N297" s="12">
        <v>41754150</v>
      </c>
      <c r="O297" t="s">
        <v>1321</v>
      </c>
    </row>
    <row r="298" spans="1:15" x14ac:dyDescent="0.35">
      <c r="A298" s="1" t="s">
        <v>727</v>
      </c>
      <c r="B298" s="1" t="s">
        <v>4</v>
      </c>
      <c r="C298" s="1" t="s">
        <v>726</v>
      </c>
      <c r="D298" s="2">
        <v>42005</v>
      </c>
      <c r="E298" s="3">
        <v>873621</v>
      </c>
      <c r="F298" s="3">
        <v>-873621</v>
      </c>
      <c r="G298" s="3">
        <v>0</v>
      </c>
      <c r="H298" s="1" t="s">
        <v>0</v>
      </c>
      <c r="I298" s="1" t="s">
        <v>2</v>
      </c>
      <c r="J298" s="1" t="s">
        <v>76</v>
      </c>
      <c r="K298" s="2"/>
      <c r="L298" s="14">
        <v>47544025</v>
      </c>
      <c r="M298" t="s">
        <v>1278</v>
      </c>
      <c r="N298" s="12">
        <v>41754150</v>
      </c>
      <c r="O298" t="s">
        <v>1342</v>
      </c>
    </row>
    <row r="299" spans="1:15" x14ac:dyDescent="0.35">
      <c r="A299" s="1" t="s">
        <v>725</v>
      </c>
      <c r="B299" s="1" t="s">
        <v>4</v>
      </c>
      <c r="C299" s="1" t="s">
        <v>724</v>
      </c>
      <c r="D299" s="2">
        <v>42005</v>
      </c>
      <c r="E299" s="3">
        <v>873621</v>
      </c>
      <c r="F299" s="3">
        <v>-873621</v>
      </c>
      <c r="G299" s="3">
        <v>0</v>
      </c>
      <c r="H299" s="1" t="s">
        <v>0</v>
      </c>
      <c r="I299" s="1" t="s">
        <v>2</v>
      </c>
      <c r="J299" s="1" t="s">
        <v>76</v>
      </c>
      <c r="K299" s="2"/>
      <c r="L299" s="14">
        <v>47544026</v>
      </c>
      <c r="M299" t="s">
        <v>1286</v>
      </c>
      <c r="N299" s="12">
        <v>41754150</v>
      </c>
      <c r="O299" t="s">
        <v>1338</v>
      </c>
    </row>
    <row r="300" spans="1:15" x14ac:dyDescent="0.35">
      <c r="A300" s="1" t="s">
        <v>723</v>
      </c>
      <c r="B300" s="1" t="s">
        <v>4</v>
      </c>
      <c r="C300" s="1" t="s">
        <v>722</v>
      </c>
      <c r="D300" s="2">
        <v>42005</v>
      </c>
      <c r="E300" s="3">
        <v>35000000</v>
      </c>
      <c r="F300" s="3">
        <v>-35000000</v>
      </c>
      <c r="G300" s="3">
        <v>0</v>
      </c>
      <c r="H300" s="1" t="s">
        <v>0</v>
      </c>
      <c r="I300" s="1" t="s">
        <v>2</v>
      </c>
      <c r="J300" s="1" t="s">
        <v>76</v>
      </c>
      <c r="K300" s="2"/>
      <c r="L300" s="14">
        <v>47544021</v>
      </c>
      <c r="M300" t="s">
        <v>1282</v>
      </c>
      <c r="N300" s="12">
        <v>41754150</v>
      </c>
      <c r="O300" t="s">
        <v>1342</v>
      </c>
    </row>
    <row r="301" spans="1:15" hidden="1" x14ac:dyDescent="0.35">
      <c r="A301" s="1" t="s">
        <v>721</v>
      </c>
      <c r="B301" s="1" t="s">
        <v>4</v>
      </c>
      <c r="C301" s="1" t="s">
        <v>720</v>
      </c>
      <c r="D301" s="2">
        <v>42005</v>
      </c>
      <c r="E301" s="3">
        <v>44981439</v>
      </c>
      <c r="F301" s="3">
        <v>-44981439</v>
      </c>
      <c r="G301" s="3">
        <v>0</v>
      </c>
      <c r="H301" s="1" t="s">
        <v>0</v>
      </c>
      <c r="I301" s="1" t="s">
        <v>2</v>
      </c>
      <c r="J301" s="1" t="s">
        <v>355</v>
      </c>
      <c r="K301" s="2"/>
      <c r="L301" s="1">
        <v>47567015</v>
      </c>
      <c r="M301" t="s">
        <v>1272</v>
      </c>
      <c r="N301">
        <v>41756150</v>
      </c>
      <c r="O301" t="s">
        <v>1315</v>
      </c>
    </row>
    <row r="302" spans="1:15" x14ac:dyDescent="0.35">
      <c r="A302" s="1" t="s">
        <v>719</v>
      </c>
      <c r="B302" s="1" t="s">
        <v>4</v>
      </c>
      <c r="C302" s="1" t="s">
        <v>718</v>
      </c>
      <c r="D302" s="2">
        <v>42005</v>
      </c>
      <c r="E302" s="3">
        <v>52000000</v>
      </c>
      <c r="F302" s="3">
        <v>-52000000</v>
      </c>
      <c r="G302" s="3">
        <v>0</v>
      </c>
      <c r="H302" s="1" t="s">
        <v>0</v>
      </c>
      <c r="I302" s="1" t="s">
        <v>2</v>
      </c>
      <c r="J302" s="1" t="s">
        <v>76</v>
      </c>
      <c r="K302" s="2"/>
      <c r="L302" s="14">
        <v>47544023</v>
      </c>
      <c r="M302" t="s">
        <v>1288</v>
      </c>
      <c r="N302" s="12">
        <v>41754150</v>
      </c>
      <c r="O302" t="s">
        <v>1339</v>
      </c>
    </row>
    <row r="303" spans="1:15" x14ac:dyDescent="0.35">
      <c r="A303" s="1" t="s">
        <v>717</v>
      </c>
      <c r="B303" s="1" t="s">
        <v>4</v>
      </c>
      <c r="C303" s="1" t="s">
        <v>716</v>
      </c>
      <c r="D303" s="2">
        <v>42005</v>
      </c>
      <c r="E303" s="3">
        <v>873621</v>
      </c>
      <c r="F303" s="3">
        <v>-873621</v>
      </c>
      <c r="G303" s="3">
        <v>0</v>
      </c>
      <c r="H303" s="1" t="s">
        <v>0</v>
      </c>
      <c r="I303" s="1" t="s">
        <v>2</v>
      </c>
      <c r="J303" s="1" t="s">
        <v>76</v>
      </c>
      <c r="K303" s="2"/>
      <c r="L303" s="14">
        <v>47544025</v>
      </c>
      <c r="M303" t="s">
        <v>1278</v>
      </c>
      <c r="N303" s="12">
        <v>41754150</v>
      </c>
      <c r="O303" t="s">
        <v>1339</v>
      </c>
    </row>
    <row r="304" spans="1:15" x14ac:dyDescent="0.35">
      <c r="A304" s="1" t="s">
        <v>715</v>
      </c>
      <c r="B304" s="1" t="s">
        <v>4</v>
      </c>
      <c r="C304" s="1" t="s">
        <v>714</v>
      </c>
      <c r="D304" s="2">
        <v>42005</v>
      </c>
      <c r="E304" s="3">
        <v>55000000</v>
      </c>
      <c r="F304" s="3">
        <v>-55000000</v>
      </c>
      <c r="G304" s="3">
        <v>0</v>
      </c>
      <c r="H304" s="1" t="s">
        <v>0</v>
      </c>
      <c r="I304" s="1" t="s">
        <v>2</v>
      </c>
      <c r="J304" s="1" t="s">
        <v>76</v>
      </c>
      <c r="K304" s="2"/>
      <c r="L304" s="14">
        <v>47544021</v>
      </c>
      <c r="M304" t="s">
        <v>1282</v>
      </c>
      <c r="N304" s="12">
        <v>41754150</v>
      </c>
      <c r="O304" t="s">
        <v>1342</v>
      </c>
    </row>
    <row r="305" spans="1:15" x14ac:dyDescent="0.35">
      <c r="A305" s="1" t="s">
        <v>713</v>
      </c>
      <c r="B305" s="1" t="s">
        <v>4</v>
      </c>
      <c r="C305" s="1" t="s">
        <v>712</v>
      </c>
      <c r="D305" s="2">
        <v>42005</v>
      </c>
      <c r="E305" s="3">
        <v>374132862</v>
      </c>
      <c r="F305" s="3">
        <v>-374132862</v>
      </c>
      <c r="G305" s="3">
        <v>0</v>
      </c>
      <c r="H305" s="1" t="s">
        <v>0</v>
      </c>
      <c r="I305" s="1" t="s">
        <v>2</v>
      </c>
      <c r="J305" s="1" t="s">
        <v>76</v>
      </c>
      <c r="K305" s="2"/>
      <c r="L305" s="14">
        <v>47544025</v>
      </c>
      <c r="M305" t="s">
        <v>1278</v>
      </c>
      <c r="N305" s="12">
        <v>41754150</v>
      </c>
      <c r="O305" t="s">
        <v>1338</v>
      </c>
    </row>
    <row r="306" spans="1:15" x14ac:dyDescent="0.35">
      <c r="A306" s="1" t="s">
        <v>711</v>
      </c>
      <c r="B306" s="1" t="s">
        <v>4</v>
      </c>
      <c r="C306" s="1" t="s">
        <v>710</v>
      </c>
      <c r="D306" s="2">
        <v>42005</v>
      </c>
      <c r="E306" s="3">
        <v>125000000</v>
      </c>
      <c r="F306" s="3">
        <v>-125000000</v>
      </c>
      <c r="G306" s="3">
        <v>0</v>
      </c>
      <c r="H306" s="1" t="s">
        <v>0</v>
      </c>
      <c r="I306" s="1" t="s">
        <v>2</v>
      </c>
      <c r="J306" s="1" t="s">
        <v>76</v>
      </c>
      <c r="K306" s="2"/>
      <c r="L306" s="14">
        <v>47544013</v>
      </c>
      <c r="M306" t="s">
        <v>1284</v>
      </c>
      <c r="N306" s="12">
        <v>41754150</v>
      </c>
      <c r="O306" t="s">
        <v>1357</v>
      </c>
    </row>
    <row r="307" spans="1:15" x14ac:dyDescent="0.35">
      <c r="A307" s="1" t="s">
        <v>709</v>
      </c>
      <c r="B307" s="1" t="s">
        <v>4</v>
      </c>
      <c r="C307" s="1" t="s">
        <v>708</v>
      </c>
      <c r="D307" s="2">
        <v>42005</v>
      </c>
      <c r="E307" s="3">
        <v>130000000</v>
      </c>
      <c r="F307" s="3">
        <v>-130000000</v>
      </c>
      <c r="G307" s="3">
        <v>0</v>
      </c>
      <c r="H307" s="1" t="s">
        <v>0</v>
      </c>
      <c r="I307" s="1" t="s">
        <v>2</v>
      </c>
      <c r="J307" s="1" t="s">
        <v>76</v>
      </c>
      <c r="K307" s="2"/>
      <c r="L307" s="14">
        <v>47544011</v>
      </c>
      <c r="M307" t="s">
        <v>1276</v>
      </c>
      <c r="N307" s="12">
        <v>41754150</v>
      </c>
      <c r="O307" t="s">
        <v>1357</v>
      </c>
    </row>
    <row r="308" spans="1:15" x14ac:dyDescent="0.35">
      <c r="A308" s="1" t="s">
        <v>707</v>
      </c>
      <c r="B308" s="1" t="s">
        <v>4</v>
      </c>
      <c r="C308" s="1" t="s">
        <v>706</v>
      </c>
      <c r="D308" s="2">
        <v>42005</v>
      </c>
      <c r="E308" s="3">
        <v>4076899</v>
      </c>
      <c r="F308" s="3">
        <v>-4076899</v>
      </c>
      <c r="G308" s="3">
        <v>0</v>
      </c>
      <c r="H308" s="1" t="s">
        <v>0</v>
      </c>
      <c r="I308" s="1" t="s">
        <v>2</v>
      </c>
      <c r="J308" s="1" t="s">
        <v>76</v>
      </c>
      <c r="K308" s="2"/>
      <c r="L308" s="14">
        <v>47544029</v>
      </c>
      <c r="M308" t="s">
        <v>1289</v>
      </c>
      <c r="N308" s="12">
        <v>41754150</v>
      </c>
      <c r="O308" t="s">
        <v>1341</v>
      </c>
    </row>
    <row r="309" spans="1:15" x14ac:dyDescent="0.35">
      <c r="A309" s="1" t="s">
        <v>705</v>
      </c>
      <c r="B309" s="1" t="s">
        <v>4</v>
      </c>
      <c r="C309" s="1" t="s">
        <v>704</v>
      </c>
      <c r="D309" s="2">
        <v>44244</v>
      </c>
      <c r="E309" s="3">
        <v>58831000</v>
      </c>
      <c r="F309" s="3">
        <v>-15296060</v>
      </c>
      <c r="G309" s="3">
        <v>43534940</v>
      </c>
      <c r="H309" s="1" t="s">
        <v>0</v>
      </c>
      <c r="I309" s="1" t="s">
        <v>2</v>
      </c>
      <c r="J309" s="1" t="s">
        <v>76</v>
      </c>
      <c r="K309" s="2"/>
      <c r="L309" s="14">
        <v>47544019</v>
      </c>
      <c r="M309" t="s">
        <v>1290</v>
      </c>
      <c r="N309" s="12">
        <v>41754150</v>
      </c>
      <c r="O309" t="s">
        <v>1350</v>
      </c>
    </row>
    <row r="310" spans="1:15" x14ac:dyDescent="0.35">
      <c r="A310" s="1" t="s">
        <v>703</v>
      </c>
      <c r="B310" s="1" t="s">
        <v>4</v>
      </c>
      <c r="C310" s="1" t="s">
        <v>702</v>
      </c>
      <c r="D310" s="2">
        <v>44176</v>
      </c>
      <c r="E310" s="3">
        <v>52594673</v>
      </c>
      <c r="F310" s="3">
        <v>-14163846</v>
      </c>
      <c r="G310" s="3">
        <v>38430827</v>
      </c>
      <c r="H310" s="1" t="s">
        <v>0</v>
      </c>
      <c r="I310" s="1" t="s">
        <v>2</v>
      </c>
      <c r="J310" s="1" t="s">
        <v>76</v>
      </c>
      <c r="K310" s="2"/>
      <c r="L310" s="14">
        <v>47567064</v>
      </c>
      <c r="M310" t="s">
        <v>1271</v>
      </c>
      <c r="N310" s="12">
        <v>41756150</v>
      </c>
      <c r="O310" t="s">
        <v>1321</v>
      </c>
    </row>
    <row r="311" spans="1:15" x14ac:dyDescent="0.35">
      <c r="A311" s="1" t="s">
        <v>701</v>
      </c>
      <c r="B311" s="1" t="s">
        <v>4</v>
      </c>
      <c r="C311" s="1" t="s">
        <v>700</v>
      </c>
      <c r="D311" s="2">
        <v>44309</v>
      </c>
      <c r="E311" s="3">
        <v>11878523</v>
      </c>
      <c r="F311" s="3">
        <v>-2982647</v>
      </c>
      <c r="G311" s="3">
        <v>8895876</v>
      </c>
      <c r="H311" s="1" t="s">
        <v>0</v>
      </c>
      <c r="I311" s="1" t="s">
        <v>2</v>
      </c>
      <c r="J311" s="1" t="s">
        <v>76</v>
      </c>
      <c r="K311" s="2"/>
      <c r="L311" s="14">
        <v>47544032</v>
      </c>
      <c r="M311" t="s">
        <v>1277</v>
      </c>
      <c r="N311" s="12">
        <v>41754150</v>
      </c>
      <c r="O311" t="s">
        <v>1321</v>
      </c>
    </row>
    <row r="312" spans="1:15" x14ac:dyDescent="0.35">
      <c r="A312" s="1" t="s">
        <v>699</v>
      </c>
      <c r="B312" s="1" t="s">
        <v>4</v>
      </c>
      <c r="C312" s="1" t="s">
        <v>698</v>
      </c>
      <c r="D312" s="2">
        <v>44217</v>
      </c>
      <c r="E312" s="3">
        <v>37472702</v>
      </c>
      <c r="F312" s="3">
        <v>-9881500</v>
      </c>
      <c r="G312" s="3">
        <v>27591202</v>
      </c>
      <c r="H312" s="1" t="s">
        <v>0</v>
      </c>
      <c r="I312" s="1" t="s">
        <v>2</v>
      </c>
      <c r="J312" s="1" t="s">
        <v>76</v>
      </c>
      <c r="K312" s="2"/>
      <c r="L312" s="14">
        <v>47544032</v>
      </c>
      <c r="M312" t="s">
        <v>1277</v>
      </c>
      <c r="N312" s="12">
        <v>41754150</v>
      </c>
      <c r="O312" t="s">
        <v>1321</v>
      </c>
    </row>
    <row r="313" spans="1:15" x14ac:dyDescent="0.35">
      <c r="A313" s="1" t="s">
        <v>697</v>
      </c>
      <c r="B313" s="1" t="s">
        <v>4</v>
      </c>
      <c r="C313" s="1" t="s">
        <v>696</v>
      </c>
      <c r="D313" s="2">
        <v>44238</v>
      </c>
      <c r="E313" s="3">
        <v>478560953</v>
      </c>
      <c r="F313" s="3">
        <v>-124819187</v>
      </c>
      <c r="G313" s="3">
        <v>353741766</v>
      </c>
      <c r="H313" s="1" t="s">
        <v>0</v>
      </c>
      <c r="I313" s="1" t="s">
        <v>2</v>
      </c>
      <c r="J313" s="1" t="s">
        <v>76</v>
      </c>
      <c r="K313" s="2"/>
      <c r="L313" s="14">
        <v>47544018</v>
      </c>
      <c r="M313" t="s">
        <v>1281</v>
      </c>
      <c r="N313" s="12">
        <v>41754150</v>
      </c>
      <c r="O313" t="s">
        <v>1347</v>
      </c>
    </row>
    <row r="314" spans="1:15" x14ac:dyDescent="0.35">
      <c r="A314" s="1" t="s">
        <v>695</v>
      </c>
      <c r="B314" s="1" t="s">
        <v>4</v>
      </c>
      <c r="C314" s="1" t="s">
        <v>694</v>
      </c>
      <c r="D314" s="2">
        <v>44221</v>
      </c>
      <c r="E314" s="3">
        <v>7100000</v>
      </c>
      <c r="F314" s="3">
        <v>-1868370</v>
      </c>
      <c r="G314" s="3">
        <v>5231630</v>
      </c>
      <c r="H314" s="1" t="s">
        <v>0</v>
      </c>
      <c r="I314" s="1" t="s">
        <v>2</v>
      </c>
      <c r="J314" s="1" t="s">
        <v>76</v>
      </c>
      <c r="K314" s="2"/>
      <c r="L314" s="14">
        <v>47544017</v>
      </c>
      <c r="M314" t="s">
        <v>1283</v>
      </c>
      <c r="N314" s="12">
        <v>41754150</v>
      </c>
      <c r="O314" t="s">
        <v>1315</v>
      </c>
    </row>
    <row r="315" spans="1:15" x14ac:dyDescent="0.35">
      <c r="A315" s="1" t="s">
        <v>693</v>
      </c>
      <c r="B315" s="1" t="s">
        <v>4</v>
      </c>
      <c r="C315" s="1" t="s">
        <v>692</v>
      </c>
      <c r="D315" s="2">
        <v>44221</v>
      </c>
      <c r="E315" s="3">
        <v>5500000</v>
      </c>
      <c r="F315" s="3">
        <v>-1447329</v>
      </c>
      <c r="G315" s="3">
        <v>4052671</v>
      </c>
      <c r="H315" s="1" t="s">
        <v>0</v>
      </c>
      <c r="I315" s="1" t="s">
        <v>2</v>
      </c>
      <c r="J315" s="1" t="s">
        <v>76</v>
      </c>
      <c r="K315" s="2"/>
      <c r="L315" s="14">
        <v>47544017</v>
      </c>
      <c r="M315" t="s">
        <v>1283</v>
      </c>
      <c r="N315" s="12">
        <v>41754150</v>
      </c>
      <c r="O315" t="s">
        <v>1315</v>
      </c>
    </row>
    <row r="316" spans="1:15" x14ac:dyDescent="0.35">
      <c r="A316" s="1" t="s">
        <v>691</v>
      </c>
      <c r="B316" s="1" t="s">
        <v>4</v>
      </c>
      <c r="C316" s="1" t="s">
        <v>690</v>
      </c>
      <c r="D316" s="2">
        <v>44260</v>
      </c>
      <c r="E316" s="3">
        <v>7586488</v>
      </c>
      <c r="F316" s="3">
        <v>-3911719</v>
      </c>
      <c r="G316" s="3">
        <v>3674769</v>
      </c>
      <c r="H316" s="1" t="s">
        <v>0</v>
      </c>
      <c r="I316" s="1" t="s">
        <v>2</v>
      </c>
      <c r="J316" s="1" t="s">
        <v>24</v>
      </c>
      <c r="K316" s="2"/>
      <c r="L316" s="14">
        <v>47544013</v>
      </c>
      <c r="M316" t="s">
        <v>1284</v>
      </c>
      <c r="N316" s="12">
        <v>41754150</v>
      </c>
      <c r="O316" t="s">
        <v>1357</v>
      </c>
    </row>
    <row r="317" spans="1:15" x14ac:dyDescent="0.35">
      <c r="A317" s="1" t="s">
        <v>688</v>
      </c>
      <c r="B317" s="1" t="s">
        <v>4</v>
      </c>
      <c r="C317" s="1" t="s">
        <v>689</v>
      </c>
      <c r="D317" s="2">
        <v>44329</v>
      </c>
      <c r="E317" s="3">
        <v>1516770810</v>
      </c>
      <c r="F317" s="3">
        <v>-376097576</v>
      </c>
      <c r="G317" s="3">
        <v>1140673234</v>
      </c>
      <c r="H317" s="1" t="s">
        <v>0</v>
      </c>
      <c r="I317" s="1" t="s">
        <v>2</v>
      </c>
      <c r="J317" s="1" t="s">
        <v>76</v>
      </c>
      <c r="K317" s="2"/>
      <c r="L317" s="14">
        <v>47544018</v>
      </c>
      <c r="M317" t="s">
        <v>1281</v>
      </c>
      <c r="N317" s="12">
        <v>41754150</v>
      </c>
      <c r="O317" t="s">
        <v>1347</v>
      </c>
    </row>
    <row r="318" spans="1:15" x14ac:dyDescent="0.35">
      <c r="A318" s="1" t="s">
        <v>688</v>
      </c>
      <c r="B318" s="1" t="s">
        <v>23</v>
      </c>
      <c r="C318" s="1" t="s">
        <v>687</v>
      </c>
      <c r="D318" s="2">
        <v>44895</v>
      </c>
      <c r="E318" s="3">
        <v>20577718</v>
      </c>
      <c r="F318" s="3">
        <v>-3515126</v>
      </c>
      <c r="G318" s="3">
        <v>17062592</v>
      </c>
      <c r="H318" s="1" t="s">
        <v>0</v>
      </c>
      <c r="I318" s="1" t="s">
        <v>2</v>
      </c>
      <c r="J318" s="1" t="s">
        <v>76</v>
      </c>
      <c r="K318" s="2"/>
      <c r="L318" s="14">
        <v>47544018</v>
      </c>
      <c r="M318" t="s">
        <v>1281</v>
      </c>
      <c r="N318" s="12">
        <v>41754150</v>
      </c>
      <c r="O318" t="s">
        <v>1347</v>
      </c>
    </row>
    <row r="319" spans="1:15" x14ac:dyDescent="0.35">
      <c r="A319" s="1" t="s">
        <v>686</v>
      </c>
      <c r="B319" s="1" t="s">
        <v>4</v>
      </c>
      <c r="C319" s="1" t="s">
        <v>685</v>
      </c>
      <c r="D319" s="2">
        <v>44530</v>
      </c>
      <c r="E319" s="3">
        <v>11000000</v>
      </c>
      <c r="F319" s="3">
        <v>-2429041</v>
      </c>
      <c r="G319" s="3">
        <v>8570959</v>
      </c>
      <c r="H319" s="1" t="s">
        <v>0</v>
      </c>
      <c r="I319" s="1" t="s">
        <v>2</v>
      </c>
      <c r="J319" s="1" t="s">
        <v>76</v>
      </c>
      <c r="K319" s="2"/>
      <c r="L319" s="14">
        <v>47544017</v>
      </c>
      <c r="M319" t="s">
        <v>1283</v>
      </c>
      <c r="N319" s="12">
        <v>41754150</v>
      </c>
      <c r="O319" t="s">
        <v>1337</v>
      </c>
    </row>
    <row r="320" spans="1:15" x14ac:dyDescent="0.35">
      <c r="A320" s="1" t="s">
        <v>684</v>
      </c>
      <c r="B320" s="1" t="s">
        <v>4</v>
      </c>
      <c r="C320" s="1" t="s">
        <v>683</v>
      </c>
      <c r="D320" s="2">
        <v>44530</v>
      </c>
      <c r="E320" s="3">
        <v>8800000</v>
      </c>
      <c r="F320" s="3">
        <v>-1943233</v>
      </c>
      <c r="G320" s="3">
        <v>6856767</v>
      </c>
      <c r="H320" s="1" t="s">
        <v>0</v>
      </c>
      <c r="I320" s="1" t="s">
        <v>2</v>
      </c>
      <c r="J320" s="1" t="s">
        <v>76</v>
      </c>
      <c r="K320" s="2"/>
      <c r="L320" s="14">
        <v>47544017</v>
      </c>
      <c r="M320" t="s">
        <v>1283</v>
      </c>
      <c r="N320" s="12">
        <v>41754150</v>
      </c>
      <c r="O320" t="s">
        <v>1315</v>
      </c>
    </row>
    <row r="321" spans="1:19" x14ac:dyDescent="0.35">
      <c r="A321" s="1" t="s">
        <v>682</v>
      </c>
      <c r="B321" s="1" t="s">
        <v>4</v>
      </c>
      <c r="C321" s="1" t="s">
        <v>681</v>
      </c>
      <c r="D321" s="2">
        <v>44530</v>
      </c>
      <c r="E321" s="3">
        <v>10000000</v>
      </c>
      <c r="F321" s="3">
        <v>-2208220</v>
      </c>
      <c r="G321" s="3">
        <v>7791780</v>
      </c>
      <c r="H321" s="1" t="s">
        <v>0</v>
      </c>
      <c r="I321" s="1" t="s">
        <v>2</v>
      </c>
      <c r="J321" s="1" t="s">
        <v>76</v>
      </c>
      <c r="K321" s="2"/>
      <c r="L321" s="14">
        <v>47544017</v>
      </c>
      <c r="M321" t="s">
        <v>1283</v>
      </c>
      <c r="N321" s="12">
        <v>41754150</v>
      </c>
      <c r="O321" t="s">
        <v>1315</v>
      </c>
    </row>
    <row r="322" spans="1:19" hidden="1" x14ac:dyDescent="0.35">
      <c r="A322" s="1" t="s">
        <v>680</v>
      </c>
      <c r="B322" s="1" t="s">
        <v>4</v>
      </c>
      <c r="C322" s="1" t="s">
        <v>679</v>
      </c>
      <c r="D322" s="2">
        <v>44334</v>
      </c>
      <c r="E322" s="3">
        <v>5372382</v>
      </c>
      <c r="F322" s="3">
        <v>-5322337</v>
      </c>
      <c r="G322" s="3">
        <v>50045</v>
      </c>
      <c r="H322" s="1" t="s">
        <v>0</v>
      </c>
      <c r="I322" s="1" t="s">
        <v>2</v>
      </c>
      <c r="J322" s="1" t="s">
        <v>56</v>
      </c>
      <c r="K322" s="2"/>
      <c r="L322" s="1">
        <v>47500051</v>
      </c>
      <c r="M322" t="s">
        <v>1287</v>
      </c>
      <c r="N322">
        <v>41750150</v>
      </c>
      <c r="O322" t="s">
        <v>1314</v>
      </c>
    </row>
    <row r="323" spans="1:19" hidden="1" x14ac:dyDescent="0.35">
      <c r="A323" s="1" t="s">
        <v>678</v>
      </c>
      <c r="B323" s="1" t="s">
        <v>4</v>
      </c>
      <c r="C323" s="1" t="s">
        <v>677</v>
      </c>
      <c r="D323" s="2">
        <v>44334</v>
      </c>
      <c r="E323" s="3">
        <v>5372382</v>
      </c>
      <c r="F323" s="3">
        <v>-5322337</v>
      </c>
      <c r="G323" s="3">
        <v>50045</v>
      </c>
      <c r="H323" s="1" t="s">
        <v>0</v>
      </c>
      <c r="I323" s="1" t="s">
        <v>2</v>
      </c>
      <c r="J323" s="1" t="s">
        <v>56</v>
      </c>
      <c r="K323" s="2"/>
      <c r="L323" s="1">
        <v>47567041</v>
      </c>
      <c r="M323" t="s">
        <v>1291</v>
      </c>
      <c r="N323">
        <v>41756150</v>
      </c>
      <c r="O323" t="s">
        <v>1319</v>
      </c>
    </row>
    <row r="324" spans="1:19" hidden="1" x14ac:dyDescent="0.35">
      <c r="A324" s="1" t="s">
        <v>676</v>
      </c>
      <c r="B324" s="1" t="s">
        <v>4</v>
      </c>
      <c r="C324" s="1" t="s">
        <v>675</v>
      </c>
      <c r="D324" s="2">
        <v>44334</v>
      </c>
      <c r="E324" s="3">
        <v>4506964</v>
      </c>
      <c r="F324" s="3">
        <v>-4464982</v>
      </c>
      <c r="G324" s="3">
        <v>41982</v>
      </c>
      <c r="H324" s="1" t="s">
        <v>0</v>
      </c>
      <c r="I324" s="1" t="s">
        <v>2</v>
      </c>
      <c r="J324" s="1" t="s">
        <v>56</v>
      </c>
      <c r="K324" s="2"/>
      <c r="L324" s="1">
        <v>47567062</v>
      </c>
      <c r="M324" t="s">
        <v>1292</v>
      </c>
      <c r="N324">
        <v>41756150</v>
      </c>
      <c r="O324" t="s">
        <v>1323</v>
      </c>
    </row>
    <row r="325" spans="1:19" hidden="1" x14ac:dyDescent="0.35">
      <c r="A325" s="1" t="s">
        <v>674</v>
      </c>
      <c r="B325" s="1" t="s">
        <v>4</v>
      </c>
      <c r="C325" s="1" t="s">
        <v>673</v>
      </c>
      <c r="D325" s="2">
        <v>44334</v>
      </c>
      <c r="E325" s="3">
        <v>5735614</v>
      </c>
      <c r="F325" s="3">
        <v>-5682187</v>
      </c>
      <c r="G325" s="3">
        <v>53427</v>
      </c>
      <c r="H325" s="1" t="s">
        <v>0</v>
      </c>
      <c r="I325" s="1" t="s">
        <v>2</v>
      </c>
      <c r="J325" s="1" t="s">
        <v>56</v>
      </c>
      <c r="K325" s="2"/>
      <c r="L325" s="1">
        <v>47567063</v>
      </c>
      <c r="M325" t="s">
        <v>1293</v>
      </c>
      <c r="N325">
        <v>41756150</v>
      </c>
      <c r="O325" t="s">
        <v>1323</v>
      </c>
    </row>
    <row r="326" spans="1:19" hidden="1" x14ac:dyDescent="0.35">
      <c r="A326" s="1" t="s">
        <v>672</v>
      </c>
      <c r="B326" s="1" t="s">
        <v>4</v>
      </c>
      <c r="C326" s="1" t="s">
        <v>671</v>
      </c>
      <c r="D326" s="2">
        <v>44334</v>
      </c>
      <c r="E326" s="3">
        <v>7400009</v>
      </c>
      <c r="F326" s="3">
        <v>-7331078</v>
      </c>
      <c r="G326" s="3">
        <v>68931</v>
      </c>
      <c r="H326" s="1" t="s">
        <v>0</v>
      </c>
      <c r="I326" s="1" t="s">
        <v>2</v>
      </c>
      <c r="J326" s="1" t="s">
        <v>56</v>
      </c>
      <c r="K326" s="2"/>
      <c r="L326" s="1">
        <v>47567063</v>
      </c>
      <c r="M326" t="s">
        <v>1293</v>
      </c>
      <c r="N326">
        <v>41756150</v>
      </c>
      <c r="O326" t="s">
        <v>1323</v>
      </c>
    </row>
    <row r="327" spans="1:19" hidden="1" x14ac:dyDescent="0.35">
      <c r="A327" s="1" t="s">
        <v>670</v>
      </c>
      <c r="B327" s="1" t="s">
        <v>4</v>
      </c>
      <c r="C327" s="1" t="s">
        <v>669</v>
      </c>
      <c r="D327" s="2">
        <v>44406</v>
      </c>
      <c r="E327" s="3">
        <v>14850070</v>
      </c>
      <c r="F327" s="3">
        <v>-14125875</v>
      </c>
      <c r="G327" s="3">
        <v>724195</v>
      </c>
      <c r="H327" s="1" t="s">
        <v>0</v>
      </c>
      <c r="I327" s="1" t="s">
        <v>2</v>
      </c>
      <c r="J327" s="1" t="s">
        <v>129</v>
      </c>
      <c r="K327" s="2"/>
      <c r="L327" s="1">
        <v>47500021</v>
      </c>
      <c r="M327" t="s">
        <v>1294</v>
      </c>
      <c r="N327">
        <v>41750150</v>
      </c>
      <c r="O327" t="s">
        <v>1314</v>
      </c>
    </row>
    <row r="328" spans="1:19" hidden="1" x14ac:dyDescent="0.35">
      <c r="A328" s="1" t="s">
        <v>668</v>
      </c>
      <c r="B328" s="1" t="s">
        <v>4</v>
      </c>
      <c r="C328" s="1" t="s">
        <v>667</v>
      </c>
      <c r="D328" s="2">
        <v>44336</v>
      </c>
      <c r="E328" s="3">
        <v>12858985</v>
      </c>
      <c r="F328" s="3">
        <v>-12858985</v>
      </c>
      <c r="G328" s="3">
        <v>0</v>
      </c>
      <c r="H328" s="1" t="s">
        <v>0</v>
      </c>
      <c r="I328" s="1" t="s">
        <v>2</v>
      </c>
      <c r="J328" s="1" t="s">
        <v>666</v>
      </c>
      <c r="K328" s="2"/>
      <c r="L328" s="1">
        <v>47567041</v>
      </c>
      <c r="M328" t="s">
        <v>1291</v>
      </c>
      <c r="N328">
        <v>41756150</v>
      </c>
      <c r="O328" t="s">
        <v>1319</v>
      </c>
    </row>
    <row r="329" spans="1:19" hidden="1" x14ac:dyDescent="0.35">
      <c r="A329" s="1" t="s">
        <v>665</v>
      </c>
      <c r="B329" s="1" t="s">
        <v>4</v>
      </c>
      <c r="C329" s="1" t="s">
        <v>664</v>
      </c>
      <c r="D329" s="2">
        <v>44404</v>
      </c>
      <c r="E329" s="3">
        <v>7729731</v>
      </c>
      <c r="F329" s="3">
        <v>-7361244</v>
      </c>
      <c r="G329" s="3">
        <v>368487</v>
      </c>
      <c r="H329" s="1" t="s">
        <v>0</v>
      </c>
      <c r="I329" s="1" t="s">
        <v>2</v>
      </c>
      <c r="J329" s="1" t="s">
        <v>56</v>
      </c>
      <c r="K329" s="2"/>
      <c r="L329" s="1">
        <v>47500000</v>
      </c>
      <c r="M329" t="s">
        <v>1295</v>
      </c>
      <c r="N329">
        <v>41750150</v>
      </c>
      <c r="O329" t="s">
        <v>1314</v>
      </c>
    </row>
    <row r="330" spans="1:19" hidden="1" x14ac:dyDescent="0.35">
      <c r="A330" s="1" t="s">
        <v>663</v>
      </c>
      <c r="B330" s="1" t="s">
        <v>4</v>
      </c>
      <c r="C330" s="1" t="s">
        <v>662</v>
      </c>
      <c r="D330" s="2">
        <v>44407</v>
      </c>
      <c r="E330" s="3">
        <v>2713200</v>
      </c>
      <c r="F330" s="3">
        <v>-1289699</v>
      </c>
      <c r="G330" s="3">
        <v>1423501</v>
      </c>
      <c r="H330" s="1" t="s">
        <v>0</v>
      </c>
      <c r="I330" s="1" t="s">
        <v>2</v>
      </c>
      <c r="J330" s="1" t="s">
        <v>355</v>
      </c>
      <c r="K330" s="2"/>
      <c r="L330" s="1">
        <v>47544010</v>
      </c>
      <c r="M330" t="s">
        <v>1296</v>
      </c>
      <c r="N330">
        <v>41754150</v>
      </c>
      <c r="O330" t="s">
        <v>1314</v>
      </c>
    </row>
    <row r="331" spans="1:19" hidden="1" x14ac:dyDescent="0.35">
      <c r="A331" s="1" t="s">
        <v>661</v>
      </c>
      <c r="B331" s="1" t="s">
        <v>4</v>
      </c>
      <c r="C331" s="1" t="s">
        <v>660</v>
      </c>
      <c r="D331" s="2">
        <v>44407</v>
      </c>
      <c r="E331" s="3">
        <v>2389000</v>
      </c>
      <c r="F331" s="3">
        <v>-1135593</v>
      </c>
      <c r="G331" s="3">
        <v>1253407</v>
      </c>
      <c r="H331" s="1" t="s">
        <v>0</v>
      </c>
      <c r="I331" s="1" t="s">
        <v>2</v>
      </c>
      <c r="J331" s="1" t="s">
        <v>355</v>
      </c>
      <c r="K331" s="2"/>
      <c r="L331" s="1">
        <v>47544010</v>
      </c>
      <c r="M331" t="s">
        <v>1296</v>
      </c>
      <c r="N331">
        <v>41754150</v>
      </c>
      <c r="O331" t="s">
        <v>1314</v>
      </c>
    </row>
    <row r="332" spans="1:19" hidden="1" x14ac:dyDescent="0.35">
      <c r="A332" s="1" t="s">
        <v>659</v>
      </c>
      <c r="B332" s="1" t="s">
        <v>4</v>
      </c>
      <c r="C332" s="1" t="s">
        <v>657</v>
      </c>
      <c r="D332" s="2">
        <v>44427</v>
      </c>
      <c r="E332" s="3">
        <v>3909609</v>
      </c>
      <c r="F332" s="3">
        <v>-3673962</v>
      </c>
      <c r="G332" s="3">
        <v>235647</v>
      </c>
      <c r="H332" s="1" t="s">
        <v>0</v>
      </c>
      <c r="I332" s="1" t="s">
        <v>2</v>
      </c>
      <c r="J332" s="1" t="s">
        <v>56</v>
      </c>
      <c r="K332" s="2"/>
      <c r="L332" s="1">
        <v>47500021</v>
      </c>
      <c r="M332" t="s">
        <v>1294</v>
      </c>
      <c r="N332">
        <v>41750150</v>
      </c>
      <c r="O332" t="s">
        <v>1314</v>
      </c>
    </row>
    <row r="333" spans="1:19" hidden="1" x14ac:dyDescent="0.35">
      <c r="A333" s="1" t="s">
        <v>658</v>
      </c>
      <c r="B333" s="1" t="s">
        <v>4</v>
      </c>
      <c r="C333" s="1" t="s">
        <v>657</v>
      </c>
      <c r="D333" s="2">
        <v>44427</v>
      </c>
      <c r="E333" s="3">
        <v>3909609</v>
      </c>
      <c r="F333" s="3">
        <v>-3673962</v>
      </c>
      <c r="G333" s="3">
        <v>235647</v>
      </c>
      <c r="H333" s="1" t="s">
        <v>0</v>
      </c>
      <c r="I333" s="1" t="s">
        <v>2</v>
      </c>
      <c r="J333" s="1" t="s">
        <v>56</v>
      </c>
      <c r="K333" s="2"/>
      <c r="L333" s="1">
        <v>47567064</v>
      </c>
      <c r="M333" t="s">
        <v>1271</v>
      </c>
      <c r="N333" s="22">
        <v>41756150</v>
      </c>
      <c r="O333" t="s">
        <v>1314</v>
      </c>
    </row>
    <row r="334" spans="1:19" hidden="1" x14ac:dyDescent="0.35">
      <c r="A334" s="1" t="s">
        <v>656</v>
      </c>
      <c r="B334" s="1" t="s">
        <v>4</v>
      </c>
      <c r="C334" s="1" t="s">
        <v>655</v>
      </c>
      <c r="D334" s="2">
        <v>44446</v>
      </c>
      <c r="E334" s="3">
        <v>4120000</v>
      </c>
      <c r="F334" s="3">
        <v>-3828778</v>
      </c>
      <c r="G334" s="3">
        <v>291222</v>
      </c>
      <c r="H334" s="1" t="s">
        <v>0</v>
      </c>
      <c r="I334" s="1" t="s">
        <v>2</v>
      </c>
      <c r="J334" s="1" t="s">
        <v>56</v>
      </c>
      <c r="K334" s="2"/>
      <c r="L334" s="1">
        <v>47544010</v>
      </c>
      <c r="M334" t="s">
        <v>1296</v>
      </c>
      <c r="N334">
        <v>41754150</v>
      </c>
      <c r="O334" t="s">
        <v>1314</v>
      </c>
    </row>
    <row r="335" spans="1:19" x14ac:dyDescent="0.35">
      <c r="A335" s="1" t="s">
        <v>654</v>
      </c>
      <c r="B335" s="1" t="s">
        <v>4</v>
      </c>
      <c r="C335" s="1" t="s">
        <v>653</v>
      </c>
      <c r="D335" s="2">
        <v>44481</v>
      </c>
      <c r="E335" s="3">
        <v>10158700</v>
      </c>
      <c r="F335" s="3">
        <v>-2311452</v>
      </c>
      <c r="G335" s="3">
        <v>7847248</v>
      </c>
      <c r="H335" s="1" t="s">
        <v>0</v>
      </c>
      <c r="I335" s="1" t="s">
        <v>2</v>
      </c>
      <c r="J335" s="1" t="s">
        <v>76</v>
      </c>
      <c r="K335" s="2"/>
      <c r="L335" s="14">
        <v>47544025</v>
      </c>
      <c r="M335" t="s">
        <v>1278</v>
      </c>
      <c r="N335" s="12">
        <v>41754150</v>
      </c>
      <c r="O335" t="s">
        <v>1338</v>
      </c>
    </row>
    <row r="336" spans="1:19" hidden="1" x14ac:dyDescent="0.35">
      <c r="A336" s="1" t="s">
        <v>644</v>
      </c>
      <c r="B336" s="1" t="s">
        <v>4</v>
      </c>
      <c r="C336" s="1" t="s">
        <v>652</v>
      </c>
      <c r="D336" s="2">
        <v>44456</v>
      </c>
      <c r="E336" s="3">
        <v>1528174</v>
      </c>
      <c r="F336" s="3">
        <v>-1411783</v>
      </c>
      <c r="G336" s="3">
        <v>116391</v>
      </c>
      <c r="H336" s="1" t="s">
        <v>0</v>
      </c>
      <c r="I336" s="1" t="s">
        <v>2</v>
      </c>
      <c r="J336" s="1" t="s">
        <v>273</v>
      </c>
      <c r="K336" s="2"/>
      <c r="L336" s="1">
        <v>47500000</v>
      </c>
      <c r="M336" t="s">
        <v>1295</v>
      </c>
      <c r="N336">
        <v>41750150</v>
      </c>
      <c r="O336" t="s">
        <v>1314</v>
      </c>
      <c r="S336" t="s">
        <v>1335</v>
      </c>
    </row>
    <row r="337" spans="1:19" hidden="1" x14ac:dyDescent="0.35">
      <c r="A337" s="1" t="s">
        <v>644</v>
      </c>
      <c r="B337" s="1" t="s">
        <v>23</v>
      </c>
      <c r="C337" s="1" t="s">
        <v>642</v>
      </c>
      <c r="D337" s="2">
        <v>44456</v>
      </c>
      <c r="E337" s="3">
        <v>1528174</v>
      </c>
      <c r="F337" s="3">
        <v>-1411783</v>
      </c>
      <c r="G337" s="3">
        <v>116391</v>
      </c>
      <c r="H337" s="1" t="s">
        <v>0</v>
      </c>
      <c r="I337" s="1" t="s">
        <v>2</v>
      </c>
      <c r="J337" s="1" t="s">
        <v>273</v>
      </c>
      <c r="K337" s="2"/>
      <c r="L337" s="1">
        <v>47502021</v>
      </c>
      <c r="M337" t="s">
        <v>1297</v>
      </c>
      <c r="N337">
        <v>41750150</v>
      </c>
      <c r="O337" t="s">
        <v>1314</v>
      </c>
      <c r="S337" t="s">
        <v>1335</v>
      </c>
    </row>
    <row r="338" spans="1:19" hidden="1" x14ac:dyDescent="0.35">
      <c r="A338" s="1" t="s">
        <v>644</v>
      </c>
      <c r="B338" s="1" t="s">
        <v>22</v>
      </c>
      <c r="C338" s="1" t="s">
        <v>642</v>
      </c>
      <c r="D338" s="2">
        <v>44456</v>
      </c>
      <c r="E338" s="3">
        <v>1528174</v>
      </c>
      <c r="F338" s="3">
        <v>-1411783</v>
      </c>
      <c r="G338" s="3">
        <v>116391</v>
      </c>
      <c r="H338" s="1" t="s">
        <v>0</v>
      </c>
      <c r="I338" s="1" t="s">
        <v>2</v>
      </c>
      <c r="J338" s="1" t="s">
        <v>273</v>
      </c>
      <c r="K338" s="2"/>
      <c r="L338" s="1">
        <v>47502031</v>
      </c>
      <c r="M338" t="s">
        <v>1279</v>
      </c>
      <c r="N338">
        <v>41750150</v>
      </c>
      <c r="O338" t="s">
        <v>1314</v>
      </c>
      <c r="S338" t="s">
        <v>1335</v>
      </c>
    </row>
    <row r="339" spans="1:19" hidden="1" x14ac:dyDescent="0.35">
      <c r="A339" s="1" t="s">
        <v>644</v>
      </c>
      <c r="B339" s="1" t="s">
        <v>21</v>
      </c>
      <c r="C339" s="1" t="s">
        <v>642</v>
      </c>
      <c r="D339" s="2">
        <v>44456</v>
      </c>
      <c r="E339" s="3">
        <v>1528174</v>
      </c>
      <c r="F339" s="3">
        <v>-1411783</v>
      </c>
      <c r="G339" s="3">
        <v>116391</v>
      </c>
      <c r="H339" s="1" t="s">
        <v>0</v>
      </c>
      <c r="I339" s="1" t="s">
        <v>2</v>
      </c>
      <c r="J339" s="1" t="s">
        <v>273</v>
      </c>
      <c r="K339" s="2"/>
      <c r="L339" s="1">
        <v>47500051</v>
      </c>
      <c r="M339" t="s">
        <v>1287</v>
      </c>
      <c r="N339">
        <v>41750150</v>
      </c>
      <c r="O339" t="s">
        <v>1314</v>
      </c>
      <c r="S339" t="s">
        <v>1335</v>
      </c>
    </row>
    <row r="340" spans="1:19" hidden="1" x14ac:dyDescent="0.35">
      <c r="A340" s="1" t="s">
        <v>644</v>
      </c>
      <c r="B340" s="1" t="s">
        <v>20</v>
      </c>
      <c r="C340" s="1" t="s">
        <v>642</v>
      </c>
      <c r="D340" s="2">
        <v>44456</v>
      </c>
      <c r="E340" s="3">
        <v>1528174</v>
      </c>
      <c r="F340" s="3">
        <v>-1411783</v>
      </c>
      <c r="G340" s="3">
        <v>116391</v>
      </c>
      <c r="H340" s="1" t="s">
        <v>0</v>
      </c>
      <c r="I340" s="1" t="s">
        <v>2</v>
      </c>
      <c r="J340" s="1" t="s">
        <v>273</v>
      </c>
      <c r="K340" s="2"/>
      <c r="L340" s="1">
        <v>47500021</v>
      </c>
      <c r="M340" t="s">
        <v>1294</v>
      </c>
      <c r="N340">
        <v>41750150</v>
      </c>
      <c r="O340" t="s">
        <v>1314</v>
      </c>
      <c r="S340" t="s">
        <v>1335</v>
      </c>
    </row>
    <row r="341" spans="1:19" hidden="1" x14ac:dyDescent="0.35">
      <c r="A341" s="1" t="s">
        <v>644</v>
      </c>
      <c r="B341" s="1" t="s">
        <v>19</v>
      </c>
      <c r="C341" s="1" t="s">
        <v>642</v>
      </c>
      <c r="D341" s="2">
        <v>44461</v>
      </c>
      <c r="E341" s="3">
        <v>1528174</v>
      </c>
      <c r="F341" s="3">
        <v>-1407596</v>
      </c>
      <c r="G341" s="3">
        <v>120578</v>
      </c>
      <c r="H341" s="1" t="s">
        <v>0</v>
      </c>
      <c r="I341" s="1" t="s">
        <v>2</v>
      </c>
      <c r="J341" s="1" t="s">
        <v>273</v>
      </c>
      <c r="K341" s="2"/>
      <c r="L341" s="1">
        <v>47500041</v>
      </c>
      <c r="M341" t="s">
        <v>1298</v>
      </c>
      <c r="N341">
        <v>41750150</v>
      </c>
      <c r="O341" t="s">
        <v>1314</v>
      </c>
      <c r="S341" t="s">
        <v>1335</v>
      </c>
    </row>
    <row r="342" spans="1:19" hidden="1" x14ac:dyDescent="0.35">
      <c r="A342" s="1" t="s">
        <v>644</v>
      </c>
      <c r="B342" s="1" t="s">
        <v>11</v>
      </c>
      <c r="C342" s="1" t="s">
        <v>642</v>
      </c>
      <c r="D342" s="2">
        <v>44456</v>
      </c>
      <c r="E342" s="3">
        <v>1528174</v>
      </c>
      <c r="F342" s="3">
        <v>-1411783</v>
      </c>
      <c r="G342" s="3">
        <v>116391</v>
      </c>
      <c r="H342" s="1" t="s">
        <v>0</v>
      </c>
      <c r="I342" s="1" t="s">
        <v>2</v>
      </c>
      <c r="J342" s="1" t="s">
        <v>273</v>
      </c>
      <c r="K342" s="2"/>
      <c r="L342" s="1">
        <v>47567015</v>
      </c>
      <c r="M342" t="s">
        <v>1272</v>
      </c>
      <c r="N342">
        <v>41756150</v>
      </c>
      <c r="O342" t="s">
        <v>1315</v>
      </c>
      <c r="S342" t="s">
        <v>1335</v>
      </c>
    </row>
    <row r="343" spans="1:19" hidden="1" x14ac:dyDescent="0.35">
      <c r="A343" s="1" t="s">
        <v>644</v>
      </c>
      <c r="B343" s="1" t="s">
        <v>10</v>
      </c>
      <c r="C343" s="1" t="s">
        <v>642</v>
      </c>
      <c r="D343" s="2">
        <v>44456</v>
      </c>
      <c r="E343" s="3">
        <v>1528174</v>
      </c>
      <c r="F343" s="3">
        <v>-1411783</v>
      </c>
      <c r="G343" s="3">
        <v>116391</v>
      </c>
      <c r="H343" s="1" t="s">
        <v>0</v>
      </c>
      <c r="I343" s="1" t="s">
        <v>2</v>
      </c>
      <c r="J343" s="1" t="s">
        <v>273</v>
      </c>
      <c r="K343" s="2"/>
      <c r="L343" s="1">
        <v>47567081</v>
      </c>
      <c r="M343" t="s">
        <v>1274</v>
      </c>
      <c r="N343">
        <v>41756150</v>
      </c>
      <c r="O343" t="s">
        <v>1316</v>
      </c>
      <c r="S343" t="s">
        <v>1335</v>
      </c>
    </row>
    <row r="344" spans="1:19" hidden="1" x14ac:dyDescent="0.35">
      <c r="A344" s="1" t="s">
        <v>644</v>
      </c>
      <c r="B344" s="1" t="s">
        <v>647</v>
      </c>
      <c r="C344" s="1" t="s">
        <v>642</v>
      </c>
      <c r="D344" s="2">
        <v>44456</v>
      </c>
      <c r="E344" s="3">
        <v>1528174</v>
      </c>
      <c r="F344" s="3">
        <v>-1411783</v>
      </c>
      <c r="G344" s="3">
        <v>116391</v>
      </c>
      <c r="H344" s="1" t="s">
        <v>0</v>
      </c>
      <c r="I344" s="1" t="s">
        <v>2</v>
      </c>
      <c r="J344" s="1" t="s">
        <v>273</v>
      </c>
      <c r="K344" s="2"/>
      <c r="L344" s="1">
        <v>47567101</v>
      </c>
      <c r="M344" t="s">
        <v>1270</v>
      </c>
      <c r="N344">
        <v>41756150</v>
      </c>
      <c r="O344" t="s">
        <v>1318</v>
      </c>
      <c r="S344" t="s">
        <v>1335</v>
      </c>
    </row>
    <row r="345" spans="1:19" hidden="1" x14ac:dyDescent="0.35">
      <c r="A345" s="1" t="s">
        <v>644</v>
      </c>
      <c r="B345" s="1" t="s">
        <v>646</v>
      </c>
      <c r="C345" s="1" t="s">
        <v>642</v>
      </c>
      <c r="D345" s="2">
        <v>44456</v>
      </c>
      <c r="E345" s="3">
        <v>1528174</v>
      </c>
      <c r="F345" s="3">
        <v>-1411783</v>
      </c>
      <c r="G345" s="3">
        <v>116391</v>
      </c>
      <c r="H345" s="1" t="s">
        <v>0</v>
      </c>
      <c r="I345" s="1" t="s">
        <v>2</v>
      </c>
      <c r="J345" s="1" t="s">
        <v>273</v>
      </c>
      <c r="K345" s="2"/>
      <c r="L345" s="1">
        <v>47567102</v>
      </c>
      <c r="M345" t="s">
        <v>1273</v>
      </c>
      <c r="N345">
        <v>41756150</v>
      </c>
      <c r="O345" t="s">
        <v>1320</v>
      </c>
      <c r="S345" t="s">
        <v>1335</v>
      </c>
    </row>
    <row r="346" spans="1:19" hidden="1" x14ac:dyDescent="0.35">
      <c r="A346" s="1" t="s">
        <v>644</v>
      </c>
      <c r="B346" s="1" t="s">
        <v>645</v>
      </c>
      <c r="C346" s="1" t="s">
        <v>642</v>
      </c>
      <c r="D346" s="2">
        <v>44456</v>
      </c>
      <c r="E346" s="3">
        <v>1528174</v>
      </c>
      <c r="F346" s="3">
        <v>-1411783</v>
      </c>
      <c r="G346" s="3">
        <v>116391</v>
      </c>
      <c r="H346" s="1" t="s">
        <v>0</v>
      </c>
      <c r="I346" s="1" t="s">
        <v>2</v>
      </c>
      <c r="J346" s="1" t="s">
        <v>273</v>
      </c>
      <c r="K346" s="2"/>
      <c r="L346" s="1">
        <v>47544010</v>
      </c>
      <c r="M346" t="s">
        <v>1296</v>
      </c>
      <c r="N346">
        <v>41754150</v>
      </c>
      <c r="O346" t="s">
        <v>1314</v>
      </c>
      <c r="S346" t="s">
        <v>1335</v>
      </c>
    </row>
    <row r="347" spans="1:19" hidden="1" x14ac:dyDescent="0.35">
      <c r="A347" s="1" t="s">
        <v>644</v>
      </c>
      <c r="B347" s="1" t="s">
        <v>648</v>
      </c>
      <c r="C347" s="1" t="s">
        <v>642</v>
      </c>
      <c r="D347" s="2">
        <v>44456</v>
      </c>
      <c r="E347" s="3">
        <v>1528174</v>
      </c>
      <c r="F347" s="3">
        <v>-1411783</v>
      </c>
      <c r="G347" s="3">
        <v>116391</v>
      </c>
      <c r="H347" s="1" t="s">
        <v>0</v>
      </c>
      <c r="I347" s="1" t="s">
        <v>2</v>
      </c>
      <c r="J347" s="1" t="s">
        <v>273</v>
      </c>
      <c r="K347" s="2"/>
      <c r="L347" s="1">
        <v>47567064</v>
      </c>
      <c r="M347" t="s">
        <v>1271</v>
      </c>
      <c r="N347" s="22">
        <v>41756150</v>
      </c>
      <c r="O347" t="s">
        <v>1314</v>
      </c>
      <c r="S347" t="s">
        <v>1335</v>
      </c>
    </row>
    <row r="348" spans="1:19" hidden="1" x14ac:dyDescent="0.35">
      <c r="A348" s="1" t="s">
        <v>644</v>
      </c>
      <c r="B348" s="1" t="s">
        <v>9</v>
      </c>
      <c r="C348" s="1" t="s">
        <v>642</v>
      </c>
      <c r="D348" s="2">
        <v>44456</v>
      </c>
      <c r="E348" s="3">
        <v>1528174</v>
      </c>
      <c r="F348" s="3">
        <v>-1411783</v>
      </c>
      <c r="G348" s="3">
        <v>116391</v>
      </c>
      <c r="H348" s="1" t="s">
        <v>0</v>
      </c>
      <c r="I348" s="1" t="s">
        <v>2</v>
      </c>
      <c r="J348" s="1" t="s">
        <v>273</v>
      </c>
      <c r="K348" s="2"/>
      <c r="L348" s="1">
        <v>47567021</v>
      </c>
      <c r="M348" t="s">
        <v>1285</v>
      </c>
      <c r="N348" s="22">
        <v>41756150</v>
      </c>
      <c r="O348" t="s">
        <v>1322</v>
      </c>
      <c r="S348" t="s">
        <v>1335</v>
      </c>
    </row>
    <row r="349" spans="1:19" hidden="1" x14ac:dyDescent="0.35">
      <c r="A349" s="1" t="s">
        <v>644</v>
      </c>
      <c r="B349" s="1" t="s">
        <v>8</v>
      </c>
      <c r="C349" s="1" t="s">
        <v>642</v>
      </c>
      <c r="D349" s="2">
        <v>44456</v>
      </c>
      <c r="E349" s="3">
        <v>1528174</v>
      </c>
      <c r="F349" s="3">
        <v>-1411783</v>
      </c>
      <c r="G349" s="3">
        <v>116391</v>
      </c>
      <c r="H349" s="1" t="s">
        <v>0</v>
      </c>
      <c r="I349" s="1" t="s">
        <v>2</v>
      </c>
      <c r="J349" s="1" t="s">
        <v>273</v>
      </c>
      <c r="K349" s="2"/>
      <c r="L349" s="1">
        <v>47567060</v>
      </c>
      <c r="M349" t="s">
        <v>1306</v>
      </c>
      <c r="N349">
        <v>41756150</v>
      </c>
      <c r="O349" t="s">
        <v>1323</v>
      </c>
      <c r="S349" t="s">
        <v>1335</v>
      </c>
    </row>
    <row r="350" spans="1:19" hidden="1" x14ac:dyDescent="0.35">
      <c r="A350" s="1" t="s">
        <v>644</v>
      </c>
      <c r="B350" s="1" t="s">
        <v>651</v>
      </c>
      <c r="C350" s="1" t="s">
        <v>642</v>
      </c>
      <c r="D350" s="2">
        <v>44456</v>
      </c>
      <c r="E350" s="3">
        <v>1528174</v>
      </c>
      <c r="F350" s="3">
        <v>-1411783</v>
      </c>
      <c r="G350" s="3">
        <v>116391</v>
      </c>
      <c r="H350" s="1" t="s">
        <v>0</v>
      </c>
      <c r="I350" s="1" t="s">
        <v>2</v>
      </c>
      <c r="J350" s="1" t="s">
        <v>273</v>
      </c>
      <c r="K350" s="2"/>
      <c r="L350" s="1">
        <v>47567061</v>
      </c>
      <c r="M350" t="s">
        <v>1307</v>
      </c>
      <c r="N350">
        <v>41756150</v>
      </c>
      <c r="O350" t="s">
        <v>1323</v>
      </c>
      <c r="S350" t="s">
        <v>1335</v>
      </c>
    </row>
    <row r="351" spans="1:19" hidden="1" x14ac:dyDescent="0.35">
      <c r="A351" s="1" t="s">
        <v>644</v>
      </c>
      <c r="B351" s="1" t="s">
        <v>650</v>
      </c>
      <c r="C351" s="1" t="s">
        <v>642</v>
      </c>
      <c r="D351" s="2">
        <v>44456</v>
      </c>
      <c r="E351" s="3">
        <v>1528174</v>
      </c>
      <c r="F351" s="3">
        <v>-1411783</v>
      </c>
      <c r="G351" s="3">
        <v>116391</v>
      </c>
      <c r="H351" s="1" t="s">
        <v>0</v>
      </c>
      <c r="I351" s="1" t="s">
        <v>2</v>
      </c>
      <c r="J351" s="1" t="s">
        <v>273</v>
      </c>
      <c r="K351" s="2"/>
      <c r="L351" s="1">
        <v>47567062</v>
      </c>
      <c r="M351" t="s">
        <v>1292</v>
      </c>
      <c r="N351">
        <v>41756150</v>
      </c>
      <c r="O351" t="s">
        <v>1323</v>
      </c>
      <c r="S351" t="s">
        <v>1335</v>
      </c>
    </row>
    <row r="352" spans="1:19" hidden="1" x14ac:dyDescent="0.35">
      <c r="A352" s="1" t="s">
        <v>644</v>
      </c>
      <c r="B352" s="1" t="s">
        <v>649</v>
      </c>
      <c r="C352" s="1" t="s">
        <v>642</v>
      </c>
      <c r="D352" s="2">
        <v>44456</v>
      </c>
      <c r="E352" s="3">
        <v>1528174</v>
      </c>
      <c r="F352" s="3">
        <v>-1411783</v>
      </c>
      <c r="G352" s="3">
        <v>116391</v>
      </c>
      <c r="H352" s="1" t="s">
        <v>0</v>
      </c>
      <c r="I352" s="1" t="s">
        <v>2</v>
      </c>
      <c r="J352" s="1" t="s">
        <v>273</v>
      </c>
      <c r="K352" s="2"/>
      <c r="L352" s="1">
        <v>47567063</v>
      </c>
      <c r="M352" t="s">
        <v>1293</v>
      </c>
      <c r="N352">
        <v>41756150</v>
      </c>
      <c r="O352" t="s">
        <v>1323</v>
      </c>
      <c r="S352" t="s">
        <v>1335</v>
      </c>
    </row>
    <row r="353" spans="1:19" hidden="1" x14ac:dyDescent="0.35">
      <c r="A353" s="1" t="s">
        <v>644</v>
      </c>
      <c r="B353" s="1" t="s">
        <v>18</v>
      </c>
      <c r="C353" s="1" t="s">
        <v>642</v>
      </c>
      <c r="D353" s="2">
        <v>44461</v>
      </c>
      <c r="E353" s="3">
        <v>1528174</v>
      </c>
      <c r="F353" s="3">
        <v>-1407596</v>
      </c>
      <c r="G353" s="3">
        <v>120578</v>
      </c>
      <c r="H353" s="1" t="s">
        <v>0</v>
      </c>
      <c r="I353" s="1" t="s">
        <v>2</v>
      </c>
      <c r="J353" s="1" t="s">
        <v>273</v>
      </c>
      <c r="K353" s="2"/>
      <c r="L353" s="1">
        <v>47511051</v>
      </c>
      <c r="M353" t="s">
        <v>1299</v>
      </c>
      <c r="N353">
        <v>41751150</v>
      </c>
      <c r="O353" t="s">
        <v>1324</v>
      </c>
      <c r="S353" t="s">
        <v>1335</v>
      </c>
    </row>
    <row r="354" spans="1:19" hidden="1" x14ac:dyDescent="0.35">
      <c r="A354" s="1" t="s">
        <v>644</v>
      </c>
      <c r="B354" s="1" t="s">
        <v>17</v>
      </c>
      <c r="C354" s="1" t="s">
        <v>642</v>
      </c>
      <c r="D354" s="2">
        <v>44461</v>
      </c>
      <c r="E354" s="3">
        <v>1528174</v>
      </c>
      <c r="F354" s="3">
        <v>-1407596</v>
      </c>
      <c r="G354" s="3">
        <v>120578</v>
      </c>
      <c r="H354" s="1" t="s">
        <v>0</v>
      </c>
      <c r="I354" s="1" t="s">
        <v>2</v>
      </c>
      <c r="J354" s="1" t="s">
        <v>273</v>
      </c>
      <c r="K354" s="2"/>
      <c r="L354" s="1">
        <v>47511021</v>
      </c>
      <c r="M354" t="s">
        <v>1300</v>
      </c>
      <c r="N354">
        <v>41751150</v>
      </c>
      <c r="O354" t="s">
        <v>1324</v>
      </c>
      <c r="S354" t="s">
        <v>1335</v>
      </c>
    </row>
    <row r="355" spans="1:19" hidden="1" x14ac:dyDescent="0.35">
      <c r="A355" s="1" t="s">
        <v>644</v>
      </c>
      <c r="B355" s="1" t="s">
        <v>16</v>
      </c>
      <c r="C355" s="1" t="s">
        <v>642</v>
      </c>
      <c r="D355" s="2">
        <v>44461</v>
      </c>
      <c r="E355" s="3">
        <v>1528174</v>
      </c>
      <c r="F355" s="3">
        <v>-1407596</v>
      </c>
      <c r="G355" s="3">
        <v>120578</v>
      </c>
      <c r="H355" s="1" t="s">
        <v>0</v>
      </c>
      <c r="I355" s="1" t="s">
        <v>2</v>
      </c>
      <c r="J355" s="1" t="s">
        <v>273</v>
      </c>
      <c r="K355" s="2"/>
      <c r="L355" s="1">
        <v>47511022</v>
      </c>
      <c r="M355" t="s">
        <v>1301</v>
      </c>
      <c r="N355">
        <v>41751150</v>
      </c>
      <c r="O355" t="s">
        <v>1324</v>
      </c>
      <c r="S355" t="s">
        <v>1335</v>
      </c>
    </row>
    <row r="356" spans="1:19" hidden="1" x14ac:dyDescent="0.35">
      <c r="A356" s="1" t="s">
        <v>644</v>
      </c>
      <c r="B356" s="1" t="s">
        <v>15</v>
      </c>
      <c r="C356" s="1" t="s">
        <v>642</v>
      </c>
      <c r="D356" s="2">
        <v>44456</v>
      </c>
      <c r="E356" s="3">
        <v>1528174</v>
      </c>
      <c r="F356" s="3">
        <v>-1411783</v>
      </c>
      <c r="G356" s="3">
        <v>116391</v>
      </c>
      <c r="H356" s="1" t="s">
        <v>0</v>
      </c>
      <c r="I356" s="1" t="s">
        <v>2</v>
      </c>
      <c r="J356" s="1" t="s">
        <v>273</v>
      </c>
      <c r="K356" s="2"/>
      <c r="L356" s="1">
        <v>47511023</v>
      </c>
      <c r="M356" t="s">
        <v>1302</v>
      </c>
      <c r="N356">
        <v>41751150</v>
      </c>
      <c r="O356" t="s">
        <v>1324</v>
      </c>
      <c r="S356" t="s">
        <v>1335</v>
      </c>
    </row>
    <row r="357" spans="1:19" hidden="1" x14ac:dyDescent="0.35">
      <c r="A357" s="1" t="s">
        <v>644</v>
      </c>
      <c r="B357" s="1" t="s">
        <v>14</v>
      </c>
      <c r="C357" s="1" t="s">
        <v>642</v>
      </c>
      <c r="D357" s="2">
        <v>44456</v>
      </c>
      <c r="E357" s="3">
        <v>1528174</v>
      </c>
      <c r="F357" s="3">
        <v>-1411783</v>
      </c>
      <c r="G357" s="3">
        <v>116391</v>
      </c>
      <c r="H357" s="1" t="s">
        <v>0</v>
      </c>
      <c r="I357" s="1" t="s">
        <v>2</v>
      </c>
      <c r="J357" s="1" t="s">
        <v>273</v>
      </c>
      <c r="K357" s="2"/>
      <c r="L357" s="1">
        <v>47511024</v>
      </c>
      <c r="M357" t="s">
        <v>1303</v>
      </c>
      <c r="N357">
        <v>41751150</v>
      </c>
      <c r="O357" t="s">
        <v>1324</v>
      </c>
      <c r="S357" t="s">
        <v>1335</v>
      </c>
    </row>
    <row r="358" spans="1:19" hidden="1" x14ac:dyDescent="0.35">
      <c r="A358" s="1" t="s">
        <v>644</v>
      </c>
      <c r="B358" s="1" t="s">
        <v>13</v>
      </c>
      <c r="C358" s="1" t="s">
        <v>642</v>
      </c>
      <c r="D358" s="2">
        <v>44456</v>
      </c>
      <c r="E358" s="3">
        <v>1528174</v>
      </c>
      <c r="F358" s="3">
        <v>-1411783</v>
      </c>
      <c r="G358" s="3">
        <v>116391</v>
      </c>
      <c r="H358" s="1" t="s">
        <v>0</v>
      </c>
      <c r="I358" s="1" t="s">
        <v>2</v>
      </c>
      <c r="J358" s="1" t="s">
        <v>273</v>
      </c>
      <c r="K358" s="2"/>
      <c r="L358" s="1">
        <v>47511045</v>
      </c>
      <c r="M358" t="s">
        <v>1304</v>
      </c>
      <c r="N358">
        <v>41751150</v>
      </c>
      <c r="O358" t="s">
        <v>1324</v>
      </c>
      <c r="S358" t="s">
        <v>1335</v>
      </c>
    </row>
    <row r="359" spans="1:19" hidden="1" x14ac:dyDescent="0.35">
      <c r="A359" s="1" t="s">
        <v>644</v>
      </c>
      <c r="B359" s="1" t="s">
        <v>12</v>
      </c>
      <c r="C359" s="1" t="s">
        <v>642</v>
      </c>
      <c r="D359" s="2">
        <v>44456</v>
      </c>
      <c r="E359" s="3">
        <v>1528174</v>
      </c>
      <c r="F359" s="3">
        <v>-1411783</v>
      </c>
      <c r="G359" s="3">
        <v>116391</v>
      </c>
      <c r="H359" s="1" t="s">
        <v>0</v>
      </c>
      <c r="I359" s="1" t="s">
        <v>2</v>
      </c>
      <c r="J359" s="1" t="s">
        <v>273</v>
      </c>
      <c r="K359" s="2"/>
      <c r="L359" s="1">
        <v>47511046</v>
      </c>
      <c r="M359" t="s">
        <v>1305</v>
      </c>
      <c r="N359">
        <v>41751150</v>
      </c>
      <c r="O359" t="s">
        <v>1324</v>
      </c>
      <c r="S359" t="s">
        <v>1335</v>
      </c>
    </row>
    <row r="360" spans="1:19" hidden="1" x14ac:dyDescent="0.35">
      <c r="A360" s="1" t="s">
        <v>644</v>
      </c>
      <c r="B360" s="1" t="s">
        <v>643</v>
      </c>
      <c r="C360" s="1" t="s">
        <v>642</v>
      </c>
      <c r="D360" s="2">
        <v>44456</v>
      </c>
      <c r="E360" s="3">
        <v>1528174</v>
      </c>
      <c r="F360" s="3">
        <v>-1411783</v>
      </c>
      <c r="G360" s="3">
        <v>116391</v>
      </c>
      <c r="H360" s="1" t="s">
        <v>0</v>
      </c>
      <c r="I360" s="1" t="s">
        <v>2</v>
      </c>
      <c r="J360" s="1" t="s">
        <v>273</v>
      </c>
      <c r="K360" s="2"/>
      <c r="L360" s="1">
        <v>47511020</v>
      </c>
      <c r="M360" t="s">
        <v>1308</v>
      </c>
      <c r="N360">
        <v>41751150</v>
      </c>
      <c r="O360" t="s">
        <v>1324</v>
      </c>
      <c r="S360" t="s">
        <v>1335</v>
      </c>
    </row>
    <row r="361" spans="1:19" hidden="1" x14ac:dyDescent="0.35">
      <c r="A361" s="1" t="s">
        <v>641</v>
      </c>
      <c r="B361" s="1" t="s">
        <v>4</v>
      </c>
      <c r="C361" s="1" t="s">
        <v>639</v>
      </c>
      <c r="D361" s="2">
        <v>44497</v>
      </c>
      <c r="E361" s="3">
        <v>2719000</v>
      </c>
      <c r="F361" s="3">
        <v>-2450825</v>
      </c>
      <c r="G361" s="3">
        <v>268175</v>
      </c>
      <c r="H361" s="1" t="s">
        <v>0</v>
      </c>
      <c r="I361" s="1" t="s">
        <v>2</v>
      </c>
      <c r="J361" s="1" t="s">
        <v>56</v>
      </c>
      <c r="K361" s="2"/>
      <c r="L361" s="1">
        <v>47500041</v>
      </c>
      <c r="M361" t="s">
        <v>1298</v>
      </c>
      <c r="N361">
        <v>41750150</v>
      </c>
      <c r="O361" t="s">
        <v>1314</v>
      </c>
    </row>
    <row r="362" spans="1:19" hidden="1" x14ac:dyDescent="0.35">
      <c r="A362" s="1" t="s">
        <v>640</v>
      </c>
      <c r="B362" s="1" t="s">
        <v>4</v>
      </c>
      <c r="C362" s="1" t="s">
        <v>639</v>
      </c>
      <c r="D362" s="2">
        <v>44497</v>
      </c>
      <c r="E362" s="3">
        <v>2719000</v>
      </c>
      <c r="F362" s="3">
        <v>-2450825</v>
      </c>
      <c r="G362" s="3">
        <v>268175</v>
      </c>
      <c r="H362" s="1" t="s">
        <v>0</v>
      </c>
      <c r="I362" s="1" t="s">
        <v>2</v>
      </c>
      <c r="J362" s="1" t="s">
        <v>56</v>
      </c>
      <c r="K362" s="2"/>
      <c r="L362" s="1">
        <v>47511024</v>
      </c>
      <c r="M362" t="s">
        <v>1303</v>
      </c>
      <c r="N362">
        <v>41751150</v>
      </c>
      <c r="O362" t="s">
        <v>1324</v>
      </c>
    </row>
    <row r="363" spans="1:19" hidden="1" x14ac:dyDescent="0.35">
      <c r="A363" s="1" t="s">
        <v>638</v>
      </c>
      <c r="B363" s="1" t="s">
        <v>4</v>
      </c>
      <c r="C363" s="1" t="s">
        <v>637</v>
      </c>
      <c r="D363" s="2">
        <v>44502</v>
      </c>
      <c r="E363" s="3">
        <v>2844000</v>
      </c>
      <c r="F363" s="3">
        <v>-2555704</v>
      </c>
      <c r="G363" s="3">
        <v>288296</v>
      </c>
      <c r="H363" s="1" t="s">
        <v>0</v>
      </c>
      <c r="I363" s="1" t="s">
        <v>2</v>
      </c>
      <c r="J363" s="1" t="s">
        <v>56</v>
      </c>
      <c r="K363" s="2"/>
      <c r="L363" s="1">
        <v>47567021</v>
      </c>
      <c r="M363" t="s">
        <v>1285</v>
      </c>
      <c r="N363" s="22">
        <v>41756150</v>
      </c>
      <c r="O363" t="s">
        <v>1322</v>
      </c>
    </row>
    <row r="364" spans="1:19" x14ac:dyDescent="0.35">
      <c r="A364" s="1" t="s">
        <v>636</v>
      </c>
      <c r="B364" s="1" t="s">
        <v>4</v>
      </c>
      <c r="C364" s="1" t="s">
        <v>635</v>
      </c>
      <c r="D364" s="2">
        <v>44585</v>
      </c>
      <c r="E364" s="3">
        <v>6178372</v>
      </c>
      <c r="F364" s="3">
        <v>-6178372</v>
      </c>
      <c r="G364" s="3">
        <v>0</v>
      </c>
      <c r="H364" s="1" t="s">
        <v>0</v>
      </c>
      <c r="I364" s="1" t="s">
        <v>2</v>
      </c>
      <c r="J364" s="1" t="s">
        <v>76</v>
      </c>
      <c r="K364" s="2"/>
      <c r="L364" s="14">
        <v>47544019</v>
      </c>
      <c r="M364" t="s">
        <v>1290</v>
      </c>
      <c r="N364" s="12">
        <v>41754150</v>
      </c>
      <c r="O364" t="s">
        <v>1345</v>
      </c>
    </row>
    <row r="365" spans="1:19" x14ac:dyDescent="0.35">
      <c r="A365" s="1" t="s">
        <v>634</v>
      </c>
      <c r="B365" s="1" t="s">
        <v>4</v>
      </c>
      <c r="C365" s="1" t="s">
        <v>633</v>
      </c>
      <c r="D365" s="2">
        <v>44503</v>
      </c>
      <c r="E365" s="3">
        <v>5860000</v>
      </c>
      <c r="F365" s="3">
        <v>-1315691</v>
      </c>
      <c r="G365" s="3">
        <v>4544309</v>
      </c>
      <c r="H365" s="1" t="s">
        <v>0</v>
      </c>
      <c r="I365" s="1" t="s">
        <v>2</v>
      </c>
      <c r="J365" s="1" t="s">
        <v>76</v>
      </c>
      <c r="K365" s="2"/>
      <c r="L365" s="14">
        <v>47544025</v>
      </c>
      <c r="M365" t="s">
        <v>1278</v>
      </c>
      <c r="N365" s="12">
        <v>41754150</v>
      </c>
      <c r="O365" t="s">
        <v>1338</v>
      </c>
    </row>
    <row r="366" spans="1:19" x14ac:dyDescent="0.35">
      <c r="A366" s="1" t="s">
        <v>632</v>
      </c>
      <c r="B366" s="1" t="s">
        <v>4</v>
      </c>
      <c r="C366" s="1" t="s">
        <v>631</v>
      </c>
      <c r="D366" s="2">
        <v>44617</v>
      </c>
      <c r="E366" s="3">
        <v>94637488</v>
      </c>
      <c r="F366" s="3">
        <v>-39540320</v>
      </c>
      <c r="G366" s="3">
        <v>55097168</v>
      </c>
      <c r="H366" s="1" t="s">
        <v>0</v>
      </c>
      <c r="I366" s="1" t="s">
        <v>2</v>
      </c>
      <c r="J366" s="1" t="s">
        <v>76</v>
      </c>
      <c r="K366" s="2"/>
      <c r="L366" s="14">
        <v>47544025</v>
      </c>
      <c r="M366" t="s">
        <v>1278</v>
      </c>
      <c r="N366" s="12">
        <v>41754150</v>
      </c>
      <c r="O366" t="s">
        <v>1338</v>
      </c>
    </row>
    <row r="367" spans="1:19" hidden="1" x14ac:dyDescent="0.35">
      <c r="A367" s="1" t="s">
        <v>630</v>
      </c>
      <c r="B367" s="1" t="s">
        <v>4</v>
      </c>
      <c r="C367" s="1" t="s">
        <v>611</v>
      </c>
      <c r="D367" s="2">
        <v>44530</v>
      </c>
      <c r="E367" s="3">
        <v>9356445</v>
      </c>
      <c r="F367" s="3">
        <v>-4132218</v>
      </c>
      <c r="G367" s="3">
        <v>5224227</v>
      </c>
      <c r="H367" s="1" t="s">
        <v>0</v>
      </c>
      <c r="I367" s="1" t="s">
        <v>2</v>
      </c>
      <c r="J367" s="1" t="s">
        <v>355</v>
      </c>
      <c r="K367" s="2"/>
      <c r="L367" s="1">
        <v>47567060</v>
      </c>
      <c r="M367" t="s">
        <v>1306</v>
      </c>
      <c r="N367">
        <v>41756150</v>
      </c>
      <c r="O367" t="s">
        <v>1323</v>
      </c>
    </row>
    <row r="368" spans="1:19" hidden="1" x14ac:dyDescent="0.35">
      <c r="A368" s="1" t="s">
        <v>629</v>
      </c>
      <c r="B368" s="1" t="s">
        <v>4</v>
      </c>
      <c r="C368" s="1" t="s">
        <v>626</v>
      </c>
      <c r="D368" s="2">
        <v>44530</v>
      </c>
      <c r="E368" s="3">
        <v>2574880</v>
      </c>
      <c r="F368" s="3">
        <v>-1137180</v>
      </c>
      <c r="G368" s="3">
        <v>1437700</v>
      </c>
      <c r="H368" s="1" t="s">
        <v>0</v>
      </c>
      <c r="I368" s="1" t="s">
        <v>2</v>
      </c>
      <c r="J368" s="1" t="s">
        <v>355</v>
      </c>
      <c r="K368" s="2"/>
      <c r="L368" s="1">
        <v>47567060</v>
      </c>
      <c r="M368" t="s">
        <v>1306</v>
      </c>
      <c r="N368">
        <v>41756150</v>
      </c>
      <c r="O368" t="s">
        <v>1323</v>
      </c>
    </row>
    <row r="369" spans="1:15" hidden="1" x14ac:dyDescent="0.35">
      <c r="A369" s="1" t="s">
        <v>628</v>
      </c>
      <c r="B369" s="1" t="s">
        <v>4</v>
      </c>
      <c r="C369" s="1" t="s">
        <v>626</v>
      </c>
      <c r="D369" s="2">
        <v>44530</v>
      </c>
      <c r="E369" s="3">
        <v>2574880</v>
      </c>
      <c r="F369" s="3">
        <v>-1137180</v>
      </c>
      <c r="G369" s="3">
        <v>1437700</v>
      </c>
      <c r="H369" s="1" t="s">
        <v>0</v>
      </c>
      <c r="I369" s="1" t="s">
        <v>2</v>
      </c>
      <c r="J369" s="1" t="s">
        <v>355</v>
      </c>
      <c r="K369" s="2"/>
      <c r="L369" s="1">
        <v>47567060</v>
      </c>
      <c r="M369" t="s">
        <v>1306</v>
      </c>
      <c r="N369">
        <v>41756150</v>
      </c>
      <c r="O369" t="s">
        <v>1323</v>
      </c>
    </row>
    <row r="370" spans="1:15" hidden="1" x14ac:dyDescent="0.35">
      <c r="A370" s="1" t="s">
        <v>627</v>
      </c>
      <c r="B370" s="1" t="s">
        <v>4</v>
      </c>
      <c r="C370" s="1" t="s">
        <v>626</v>
      </c>
      <c r="D370" s="2">
        <v>44530</v>
      </c>
      <c r="E370" s="3">
        <v>2574880</v>
      </c>
      <c r="F370" s="3">
        <v>-1137180</v>
      </c>
      <c r="G370" s="3">
        <v>1437700</v>
      </c>
      <c r="H370" s="1" t="s">
        <v>0</v>
      </c>
      <c r="I370" s="1" t="s">
        <v>2</v>
      </c>
      <c r="J370" s="1" t="s">
        <v>355</v>
      </c>
      <c r="K370" s="2"/>
      <c r="L370" s="1">
        <v>47567060</v>
      </c>
      <c r="M370" t="s">
        <v>1306</v>
      </c>
      <c r="N370">
        <v>41756150</v>
      </c>
      <c r="O370" t="s">
        <v>1323</v>
      </c>
    </row>
    <row r="371" spans="1:15" hidden="1" x14ac:dyDescent="0.35">
      <c r="A371" s="1" t="s">
        <v>625</v>
      </c>
      <c r="B371" s="1" t="s">
        <v>4</v>
      </c>
      <c r="C371" s="1" t="s">
        <v>624</v>
      </c>
      <c r="D371" s="2">
        <v>44530</v>
      </c>
      <c r="E371" s="3">
        <v>20975992</v>
      </c>
      <c r="F371" s="3">
        <v>-9263917</v>
      </c>
      <c r="G371" s="3">
        <v>11712075</v>
      </c>
      <c r="H371" s="1" t="s">
        <v>0</v>
      </c>
      <c r="I371" s="1" t="s">
        <v>2</v>
      </c>
      <c r="J371" s="1" t="s">
        <v>355</v>
      </c>
      <c r="K371" s="2"/>
      <c r="L371" s="1">
        <v>47500000</v>
      </c>
      <c r="M371" t="s">
        <v>1295</v>
      </c>
      <c r="N371">
        <v>41750150</v>
      </c>
      <c r="O371" t="s">
        <v>1314</v>
      </c>
    </row>
    <row r="372" spans="1:15" hidden="1" x14ac:dyDescent="0.35">
      <c r="A372" s="1" t="s">
        <v>623</v>
      </c>
      <c r="B372" s="1" t="s">
        <v>4</v>
      </c>
      <c r="C372" s="1" t="s">
        <v>622</v>
      </c>
      <c r="D372" s="2">
        <v>44530</v>
      </c>
      <c r="E372" s="3">
        <v>11920318</v>
      </c>
      <c r="F372" s="3">
        <v>-5264536</v>
      </c>
      <c r="G372" s="3">
        <v>6655782</v>
      </c>
      <c r="H372" s="1" t="s">
        <v>0</v>
      </c>
      <c r="I372" s="1" t="s">
        <v>2</v>
      </c>
      <c r="J372" s="1" t="s">
        <v>355</v>
      </c>
      <c r="K372" s="2"/>
      <c r="L372" s="1">
        <v>47500000</v>
      </c>
      <c r="M372" t="s">
        <v>1295</v>
      </c>
      <c r="N372">
        <v>41750150</v>
      </c>
      <c r="O372" t="s">
        <v>1314</v>
      </c>
    </row>
    <row r="373" spans="1:15" hidden="1" x14ac:dyDescent="0.35">
      <c r="A373" s="1" t="s">
        <v>621</v>
      </c>
      <c r="B373" s="1" t="s">
        <v>4</v>
      </c>
      <c r="C373" s="1" t="s">
        <v>620</v>
      </c>
      <c r="D373" s="2">
        <v>44530</v>
      </c>
      <c r="E373" s="3">
        <v>2566007</v>
      </c>
      <c r="F373" s="3">
        <v>-1133262</v>
      </c>
      <c r="G373" s="3">
        <v>1432745</v>
      </c>
      <c r="H373" s="1" t="s">
        <v>0</v>
      </c>
      <c r="I373" s="1" t="s">
        <v>2</v>
      </c>
      <c r="J373" s="1" t="s">
        <v>355</v>
      </c>
      <c r="K373" s="2"/>
      <c r="L373" s="1">
        <v>47500000</v>
      </c>
      <c r="M373" t="s">
        <v>1295</v>
      </c>
      <c r="N373">
        <v>41750150</v>
      </c>
      <c r="O373" t="s">
        <v>1314</v>
      </c>
    </row>
    <row r="374" spans="1:15" hidden="1" x14ac:dyDescent="0.35">
      <c r="A374" s="1" t="s">
        <v>619</v>
      </c>
      <c r="B374" s="1" t="s">
        <v>4</v>
      </c>
      <c r="C374" s="1" t="s">
        <v>618</v>
      </c>
      <c r="D374" s="2">
        <v>44530</v>
      </c>
      <c r="E374" s="3">
        <v>8531551</v>
      </c>
      <c r="F374" s="3">
        <v>-3767906</v>
      </c>
      <c r="G374" s="3">
        <v>4763645</v>
      </c>
      <c r="H374" s="1" t="s">
        <v>0</v>
      </c>
      <c r="I374" s="1" t="s">
        <v>2</v>
      </c>
      <c r="J374" s="1" t="s">
        <v>355</v>
      </c>
      <c r="K374" s="2"/>
      <c r="L374" s="1">
        <v>47500000</v>
      </c>
      <c r="M374" t="s">
        <v>1295</v>
      </c>
      <c r="N374">
        <v>41750150</v>
      </c>
      <c r="O374" t="s">
        <v>1314</v>
      </c>
    </row>
    <row r="375" spans="1:15" hidden="1" x14ac:dyDescent="0.35">
      <c r="A375" s="1" t="s">
        <v>617</v>
      </c>
      <c r="B375" s="1" t="s">
        <v>4</v>
      </c>
      <c r="C375" s="1" t="s">
        <v>616</v>
      </c>
      <c r="D375" s="2">
        <v>44530</v>
      </c>
      <c r="E375" s="3">
        <v>2849340</v>
      </c>
      <c r="F375" s="3">
        <v>-1258394</v>
      </c>
      <c r="G375" s="3">
        <v>1590946</v>
      </c>
      <c r="H375" s="1" t="s">
        <v>0</v>
      </c>
      <c r="I375" s="1" t="s">
        <v>2</v>
      </c>
      <c r="J375" s="1" t="s">
        <v>355</v>
      </c>
      <c r="K375" s="2"/>
      <c r="L375" s="1">
        <v>47500000</v>
      </c>
      <c r="M375" t="s">
        <v>1295</v>
      </c>
      <c r="N375">
        <v>41750150</v>
      </c>
      <c r="O375" t="s">
        <v>1314</v>
      </c>
    </row>
    <row r="376" spans="1:15" hidden="1" x14ac:dyDescent="0.35">
      <c r="A376" s="1" t="s">
        <v>615</v>
      </c>
      <c r="B376" s="1" t="s">
        <v>4</v>
      </c>
      <c r="C376" s="1" t="s">
        <v>614</v>
      </c>
      <c r="D376" s="2">
        <v>44530</v>
      </c>
      <c r="E376" s="3">
        <v>5332350</v>
      </c>
      <c r="F376" s="3">
        <v>-2354999</v>
      </c>
      <c r="G376" s="3">
        <v>2977351</v>
      </c>
      <c r="H376" s="1" t="s">
        <v>0</v>
      </c>
      <c r="I376" s="1" t="s">
        <v>2</v>
      </c>
      <c r="J376" s="1" t="s">
        <v>355</v>
      </c>
      <c r="K376" s="2"/>
      <c r="L376" s="1">
        <v>47500021</v>
      </c>
      <c r="M376" t="s">
        <v>1294</v>
      </c>
      <c r="N376">
        <v>41750150</v>
      </c>
      <c r="O376" t="s">
        <v>1314</v>
      </c>
    </row>
    <row r="377" spans="1:15" hidden="1" x14ac:dyDescent="0.35">
      <c r="A377" s="1" t="s">
        <v>613</v>
      </c>
      <c r="B377" s="1" t="s">
        <v>4</v>
      </c>
      <c r="C377" s="1" t="s">
        <v>611</v>
      </c>
      <c r="D377" s="2">
        <v>44530</v>
      </c>
      <c r="E377" s="3">
        <v>6866543</v>
      </c>
      <c r="F377" s="3">
        <v>-3032565</v>
      </c>
      <c r="G377" s="3">
        <v>3833978</v>
      </c>
      <c r="H377" s="1" t="s">
        <v>0</v>
      </c>
      <c r="I377" s="1" t="s">
        <v>2</v>
      </c>
      <c r="J377" s="1" t="s">
        <v>355</v>
      </c>
      <c r="K377" s="2"/>
      <c r="L377" s="1">
        <v>47567081</v>
      </c>
      <c r="M377" t="s">
        <v>1274</v>
      </c>
      <c r="N377">
        <v>41756150</v>
      </c>
      <c r="O377" t="s">
        <v>1316</v>
      </c>
    </row>
    <row r="378" spans="1:15" hidden="1" x14ac:dyDescent="0.35">
      <c r="A378" s="1" t="s">
        <v>612</v>
      </c>
      <c r="B378" s="1" t="s">
        <v>4</v>
      </c>
      <c r="C378" s="1" t="s">
        <v>611</v>
      </c>
      <c r="D378" s="2">
        <v>44530</v>
      </c>
      <c r="E378" s="3">
        <v>5505725</v>
      </c>
      <c r="F378" s="3">
        <v>-2431571</v>
      </c>
      <c r="G378" s="3">
        <v>3074154</v>
      </c>
      <c r="H378" s="1" t="s">
        <v>0</v>
      </c>
      <c r="I378" s="1" t="s">
        <v>2</v>
      </c>
      <c r="J378" s="1" t="s">
        <v>355</v>
      </c>
      <c r="K378" s="2"/>
      <c r="L378" s="1">
        <v>47502031</v>
      </c>
      <c r="M378" t="s">
        <v>1279</v>
      </c>
      <c r="N378">
        <v>41750150</v>
      </c>
      <c r="O378" t="s">
        <v>1314</v>
      </c>
    </row>
    <row r="379" spans="1:15" hidden="1" x14ac:dyDescent="0.35">
      <c r="A379" s="1" t="s">
        <v>610</v>
      </c>
      <c r="B379" s="1" t="s">
        <v>4</v>
      </c>
      <c r="C379" s="1" t="s">
        <v>609</v>
      </c>
      <c r="D379" s="2">
        <v>44530</v>
      </c>
      <c r="E379" s="3">
        <v>20251131</v>
      </c>
      <c r="F379" s="3">
        <v>-8943787</v>
      </c>
      <c r="G379" s="3">
        <v>11307344</v>
      </c>
      <c r="H379" s="1" t="s">
        <v>0</v>
      </c>
      <c r="I379" s="1" t="s">
        <v>2</v>
      </c>
      <c r="J379" s="1" t="s">
        <v>355</v>
      </c>
      <c r="K379" s="2"/>
      <c r="L379" s="1">
        <v>47567060</v>
      </c>
      <c r="M379" t="s">
        <v>1306</v>
      </c>
      <c r="N379">
        <v>41756150</v>
      </c>
      <c r="O379" t="s">
        <v>1323</v>
      </c>
    </row>
    <row r="380" spans="1:15" hidden="1" x14ac:dyDescent="0.35">
      <c r="A380" s="1" t="s">
        <v>608</v>
      </c>
      <c r="B380" s="1" t="s">
        <v>4</v>
      </c>
      <c r="C380" s="1" t="s">
        <v>607</v>
      </c>
      <c r="D380" s="2">
        <v>44530</v>
      </c>
      <c r="E380" s="3">
        <v>12305077</v>
      </c>
      <c r="F380" s="3">
        <v>-5434462</v>
      </c>
      <c r="G380" s="3">
        <v>6870615</v>
      </c>
      <c r="H380" s="1" t="s">
        <v>0</v>
      </c>
      <c r="I380" s="1" t="s">
        <v>2</v>
      </c>
      <c r="J380" s="1" t="s">
        <v>355</v>
      </c>
      <c r="K380" s="2"/>
      <c r="L380" s="1">
        <v>47500021</v>
      </c>
      <c r="M380" t="s">
        <v>1294</v>
      </c>
      <c r="N380">
        <v>41750150</v>
      </c>
      <c r="O380" t="s">
        <v>1314</v>
      </c>
    </row>
    <row r="381" spans="1:15" hidden="1" x14ac:dyDescent="0.35">
      <c r="A381" s="1" t="s">
        <v>606</v>
      </c>
      <c r="B381" s="1" t="s">
        <v>4</v>
      </c>
      <c r="C381" s="1" t="s">
        <v>605</v>
      </c>
      <c r="D381" s="2">
        <v>44530</v>
      </c>
      <c r="E381" s="3">
        <v>15591917</v>
      </c>
      <c r="F381" s="3">
        <v>-6886075</v>
      </c>
      <c r="G381" s="3">
        <v>8705842</v>
      </c>
      <c r="H381" s="1" t="s">
        <v>0</v>
      </c>
      <c r="I381" s="1" t="s">
        <v>2</v>
      </c>
      <c r="J381" s="1" t="s">
        <v>355</v>
      </c>
      <c r="K381" s="2"/>
      <c r="L381" s="1">
        <v>47500051</v>
      </c>
      <c r="M381" t="s">
        <v>1287</v>
      </c>
      <c r="N381">
        <v>41750150</v>
      </c>
      <c r="O381" t="s">
        <v>1314</v>
      </c>
    </row>
    <row r="382" spans="1:15" hidden="1" x14ac:dyDescent="0.35">
      <c r="A382" s="1" t="s">
        <v>604</v>
      </c>
      <c r="B382" s="1" t="s">
        <v>4</v>
      </c>
      <c r="C382" s="1" t="s">
        <v>602</v>
      </c>
      <c r="D382" s="2">
        <v>44530</v>
      </c>
      <c r="E382" s="3">
        <v>1633810</v>
      </c>
      <c r="F382" s="3">
        <v>-721562</v>
      </c>
      <c r="G382" s="3">
        <v>912248</v>
      </c>
      <c r="H382" s="1" t="s">
        <v>0</v>
      </c>
      <c r="I382" s="1" t="s">
        <v>2</v>
      </c>
      <c r="J382" s="1" t="s">
        <v>355</v>
      </c>
      <c r="K382" s="2"/>
      <c r="L382" s="1">
        <v>47511045</v>
      </c>
      <c r="M382" t="s">
        <v>1304</v>
      </c>
      <c r="N382">
        <v>41751150</v>
      </c>
      <c r="O382" t="s">
        <v>1324</v>
      </c>
    </row>
    <row r="383" spans="1:15" hidden="1" x14ac:dyDescent="0.35">
      <c r="A383" s="1" t="s">
        <v>603</v>
      </c>
      <c r="B383" s="1" t="s">
        <v>4</v>
      </c>
      <c r="C383" s="1" t="s">
        <v>602</v>
      </c>
      <c r="D383" s="2">
        <v>44530</v>
      </c>
      <c r="E383" s="3">
        <v>1633810</v>
      </c>
      <c r="F383" s="3">
        <v>-721562</v>
      </c>
      <c r="G383" s="3">
        <v>912248</v>
      </c>
      <c r="H383" s="1" t="s">
        <v>0</v>
      </c>
      <c r="I383" s="1" t="s">
        <v>2</v>
      </c>
      <c r="J383" s="1" t="s">
        <v>355</v>
      </c>
      <c r="K383" s="2"/>
      <c r="L383" s="1">
        <v>47511045</v>
      </c>
      <c r="M383" t="s">
        <v>1304</v>
      </c>
      <c r="N383">
        <v>41751150</v>
      </c>
      <c r="O383" t="s">
        <v>1324</v>
      </c>
    </row>
    <row r="384" spans="1:15" hidden="1" x14ac:dyDescent="0.35">
      <c r="A384" s="1" t="s">
        <v>601</v>
      </c>
      <c r="B384" s="1" t="s">
        <v>4</v>
      </c>
      <c r="C384" s="1" t="s">
        <v>599</v>
      </c>
      <c r="D384" s="2">
        <v>44530</v>
      </c>
      <c r="E384" s="3">
        <v>6940850</v>
      </c>
      <c r="F384" s="3">
        <v>-3065383</v>
      </c>
      <c r="G384" s="3">
        <v>3875467</v>
      </c>
      <c r="H384" s="1" t="s">
        <v>0</v>
      </c>
      <c r="I384" s="1" t="s">
        <v>2</v>
      </c>
      <c r="J384" s="1" t="s">
        <v>355</v>
      </c>
      <c r="K384" s="2"/>
      <c r="L384" s="1">
        <v>47567041</v>
      </c>
      <c r="M384" t="s">
        <v>1291</v>
      </c>
      <c r="N384">
        <v>41756150</v>
      </c>
      <c r="O384" t="s">
        <v>1319</v>
      </c>
    </row>
    <row r="385" spans="1:15" hidden="1" x14ac:dyDescent="0.35">
      <c r="A385" s="1" t="s">
        <v>600</v>
      </c>
      <c r="B385" s="1" t="s">
        <v>4</v>
      </c>
      <c r="C385" s="1" t="s">
        <v>599</v>
      </c>
      <c r="D385" s="2">
        <v>44530</v>
      </c>
      <c r="E385" s="3">
        <v>6940850</v>
      </c>
      <c r="F385" s="3">
        <v>-3065383</v>
      </c>
      <c r="G385" s="3">
        <v>3875467</v>
      </c>
      <c r="H385" s="1" t="s">
        <v>0</v>
      </c>
      <c r="I385" s="1" t="s">
        <v>2</v>
      </c>
      <c r="J385" s="1" t="s">
        <v>355</v>
      </c>
      <c r="K385" s="2"/>
      <c r="L385" s="1">
        <v>47567041</v>
      </c>
      <c r="M385" t="s">
        <v>1291</v>
      </c>
      <c r="N385">
        <v>41756150</v>
      </c>
      <c r="O385" t="s">
        <v>1319</v>
      </c>
    </row>
    <row r="386" spans="1:15" hidden="1" x14ac:dyDescent="0.35">
      <c r="A386" s="1" t="s">
        <v>598</v>
      </c>
      <c r="B386" s="1" t="s">
        <v>4</v>
      </c>
      <c r="C386" s="1" t="s">
        <v>596</v>
      </c>
      <c r="D386" s="2">
        <v>44530</v>
      </c>
      <c r="E386" s="3">
        <v>5750825</v>
      </c>
      <c r="F386" s="3">
        <v>-2539818</v>
      </c>
      <c r="G386" s="3">
        <v>3211007</v>
      </c>
      <c r="H386" s="1" t="s">
        <v>0</v>
      </c>
      <c r="I386" s="1" t="s">
        <v>2</v>
      </c>
      <c r="J386" s="1" t="s">
        <v>355</v>
      </c>
      <c r="K386" s="2"/>
      <c r="L386" s="1">
        <v>47500041</v>
      </c>
      <c r="M386" t="s">
        <v>1298</v>
      </c>
      <c r="N386">
        <v>41750150</v>
      </c>
      <c r="O386" t="s">
        <v>1314</v>
      </c>
    </row>
    <row r="387" spans="1:15" hidden="1" x14ac:dyDescent="0.35">
      <c r="A387" s="1" t="s">
        <v>597</v>
      </c>
      <c r="B387" s="1" t="s">
        <v>4</v>
      </c>
      <c r="C387" s="1" t="s">
        <v>596</v>
      </c>
      <c r="D387" s="2">
        <v>44530</v>
      </c>
      <c r="E387" s="3">
        <v>5750825</v>
      </c>
      <c r="F387" s="3">
        <v>-2539818</v>
      </c>
      <c r="G387" s="3">
        <v>3211007</v>
      </c>
      <c r="H387" s="1" t="s">
        <v>0</v>
      </c>
      <c r="I387" s="1" t="s">
        <v>2</v>
      </c>
      <c r="J387" s="1" t="s">
        <v>355</v>
      </c>
      <c r="K387" s="2"/>
      <c r="L387" s="1">
        <v>47500041</v>
      </c>
      <c r="M387" t="s">
        <v>1298</v>
      </c>
      <c r="N387">
        <v>41750150</v>
      </c>
      <c r="O387" t="s">
        <v>1314</v>
      </c>
    </row>
    <row r="388" spans="1:15" hidden="1" x14ac:dyDescent="0.35">
      <c r="A388" s="1" t="s">
        <v>595</v>
      </c>
      <c r="B388" s="1" t="s">
        <v>4</v>
      </c>
      <c r="C388" s="1" t="s">
        <v>588</v>
      </c>
      <c r="D388" s="2">
        <v>44530</v>
      </c>
      <c r="E388" s="3">
        <v>1815091</v>
      </c>
      <c r="F388" s="3">
        <v>-801623</v>
      </c>
      <c r="G388" s="3">
        <v>1013468</v>
      </c>
      <c r="H388" s="1" t="s">
        <v>0</v>
      </c>
      <c r="I388" s="1" t="s">
        <v>2</v>
      </c>
      <c r="J388" s="1" t="s">
        <v>355</v>
      </c>
      <c r="K388" s="2"/>
      <c r="L388" s="1">
        <v>47544010</v>
      </c>
      <c r="M388" t="s">
        <v>1296</v>
      </c>
      <c r="N388">
        <v>41754150</v>
      </c>
      <c r="O388" t="s">
        <v>1314</v>
      </c>
    </row>
    <row r="389" spans="1:15" hidden="1" x14ac:dyDescent="0.35">
      <c r="A389" s="1" t="s">
        <v>594</v>
      </c>
      <c r="B389" s="1" t="s">
        <v>4</v>
      </c>
      <c r="C389" s="1" t="s">
        <v>588</v>
      </c>
      <c r="D389" s="2">
        <v>44530</v>
      </c>
      <c r="E389" s="3">
        <v>1815091</v>
      </c>
      <c r="F389" s="3">
        <v>-801623</v>
      </c>
      <c r="G389" s="3">
        <v>1013468</v>
      </c>
      <c r="H389" s="1" t="s">
        <v>0</v>
      </c>
      <c r="I389" s="1" t="s">
        <v>2</v>
      </c>
      <c r="J389" s="1" t="s">
        <v>355</v>
      </c>
      <c r="K389" s="2"/>
      <c r="L389" s="1">
        <v>47544010</v>
      </c>
      <c r="M389" t="s">
        <v>1296</v>
      </c>
      <c r="N389">
        <v>41754150</v>
      </c>
      <c r="O389" t="s">
        <v>1314</v>
      </c>
    </row>
    <row r="390" spans="1:15" hidden="1" x14ac:dyDescent="0.35">
      <c r="A390" s="1" t="s">
        <v>593</v>
      </c>
      <c r="B390" s="1" t="s">
        <v>4</v>
      </c>
      <c r="C390" s="1" t="s">
        <v>588</v>
      </c>
      <c r="D390" s="2">
        <v>44530</v>
      </c>
      <c r="E390" s="3">
        <v>1815091</v>
      </c>
      <c r="F390" s="3">
        <v>-801623</v>
      </c>
      <c r="G390" s="3">
        <v>1013468</v>
      </c>
      <c r="H390" s="1" t="s">
        <v>0</v>
      </c>
      <c r="I390" s="1" t="s">
        <v>2</v>
      </c>
      <c r="J390" s="1" t="s">
        <v>355</v>
      </c>
      <c r="K390" s="2"/>
      <c r="L390" s="1">
        <v>47544010</v>
      </c>
      <c r="M390" t="s">
        <v>1296</v>
      </c>
      <c r="N390">
        <v>41754150</v>
      </c>
      <c r="O390" t="s">
        <v>1314</v>
      </c>
    </row>
    <row r="391" spans="1:15" hidden="1" x14ac:dyDescent="0.35">
      <c r="A391" s="1" t="s">
        <v>592</v>
      </c>
      <c r="B391" s="1" t="s">
        <v>4</v>
      </c>
      <c r="C391" s="1" t="s">
        <v>588</v>
      </c>
      <c r="D391" s="2">
        <v>44530</v>
      </c>
      <c r="E391" s="3">
        <v>1815091</v>
      </c>
      <c r="F391" s="3">
        <v>-801623</v>
      </c>
      <c r="G391" s="3">
        <v>1013468</v>
      </c>
      <c r="H391" s="1" t="s">
        <v>0</v>
      </c>
      <c r="I391" s="1" t="s">
        <v>2</v>
      </c>
      <c r="J391" s="1" t="s">
        <v>355</v>
      </c>
      <c r="K391" s="2"/>
      <c r="L391" s="1">
        <v>47544010</v>
      </c>
      <c r="M391" t="s">
        <v>1296</v>
      </c>
      <c r="N391">
        <v>41754150</v>
      </c>
      <c r="O391" t="s">
        <v>1314</v>
      </c>
    </row>
    <row r="392" spans="1:15" hidden="1" x14ac:dyDescent="0.35">
      <c r="A392" s="1" t="s">
        <v>591</v>
      </c>
      <c r="B392" s="1" t="s">
        <v>4</v>
      </c>
      <c r="C392" s="1" t="s">
        <v>588</v>
      </c>
      <c r="D392" s="2">
        <v>44530</v>
      </c>
      <c r="E392" s="3">
        <v>1815091</v>
      </c>
      <c r="F392" s="3">
        <v>-801623</v>
      </c>
      <c r="G392" s="3">
        <v>1013468</v>
      </c>
      <c r="H392" s="1" t="s">
        <v>0</v>
      </c>
      <c r="I392" s="1" t="s">
        <v>2</v>
      </c>
      <c r="J392" s="1" t="s">
        <v>355</v>
      </c>
      <c r="K392" s="2"/>
      <c r="L392" s="1">
        <v>47544010</v>
      </c>
      <c r="M392" t="s">
        <v>1296</v>
      </c>
      <c r="N392">
        <v>41754150</v>
      </c>
      <c r="O392" t="s">
        <v>1314</v>
      </c>
    </row>
    <row r="393" spans="1:15" hidden="1" x14ac:dyDescent="0.35">
      <c r="A393" s="1" t="s">
        <v>590</v>
      </c>
      <c r="B393" s="1" t="s">
        <v>4</v>
      </c>
      <c r="C393" s="1" t="s">
        <v>588</v>
      </c>
      <c r="D393" s="2">
        <v>44530</v>
      </c>
      <c r="E393" s="3">
        <v>1815091</v>
      </c>
      <c r="F393" s="3">
        <v>-801623</v>
      </c>
      <c r="G393" s="3">
        <v>1013468</v>
      </c>
      <c r="H393" s="1" t="s">
        <v>0</v>
      </c>
      <c r="I393" s="1" t="s">
        <v>2</v>
      </c>
      <c r="J393" s="1" t="s">
        <v>355</v>
      </c>
      <c r="K393" s="2"/>
      <c r="L393" s="1">
        <v>47544010</v>
      </c>
      <c r="M393" t="s">
        <v>1296</v>
      </c>
      <c r="N393">
        <v>41754150</v>
      </c>
      <c r="O393" t="s">
        <v>1314</v>
      </c>
    </row>
    <row r="394" spans="1:15" hidden="1" x14ac:dyDescent="0.35">
      <c r="A394" s="1" t="s">
        <v>589</v>
      </c>
      <c r="B394" s="1" t="s">
        <v>4</v>
      </c>
      <c r="C394" s="1" t="s">
        <v>588</v>
      </c>
      <c r="D394" s="2">
        <v>44530</v>
      </c>
      <c r="E394" s="3">
        <v>1815091</v>
      </c>
      <c r="F394" s="3">
        <v>-801623</v>
      </c>
      <c r="G394" s="3">
        <v>1013468</v>
      </c>
      <c r="H394" s="1" t="s">
        <v>0</v>
      </c>
      <c r="I394" s="1" t="s">
        <v>2</v>
      </c>
      <c r="J394" s="1" t="s">
        <v>355</v>
      </c>
      <c r="K394" s="2"/>
      <c r="L394" s="1">
        <v>47544010</v>
      </c>
      <c r="M394" t="s">
        <v>1296</v>
      </c>
      <c r="N394">
        <v>41754150</v>
      </c>
      <c r="O394" t="s">
        <v>1314</v>
      </c>
    </row>
    <row r="395" spans="1:15" hidden="1" x14ac:dyDescent="0.35">
      <c r="A395" s="1" t="s">
        <v>587</v>
      </c>
      <c r="B395" s="1" t="s">
        <v>4</v>
      </c>
      <c r="C395" s="1" t="s">
        <v>586</v>
      </c>
      <c r="D395" s="2">
        <v>44530</v>
      </c>
      <c r="E395" s="3">
        <v>1323350</v>
      </c>
      <c r="F395" s="3">
        <v>-1323350</v>
      </c>
      <c r="G395" s="3">
        <v>0</v>
      </c>
      <c r="H395" s="1" t="s">
        <v>0</v>
      </c>
      <c r="I395" s="1" t="s">
        <v>2</v>
      </c>
      <c r="J395" s="1" t="s">
        <v>300</v>
      </c>
      <c r="K395" s="2"/>
      <c r="L395" s="1">
        <v>47500000</v>
      </c>
      <c r="M395" t="s">
        <v>1295</v>
      </c>
      <c r="N395">
        <v>41750150</v>
      </c>
      <c r="O395" t="s">
        <v>1314</v>
      </c>
    </row>
    <row r="396" spans="1:15" hidden="1" x14ac:dyDescent="0.35">
      <c r="A396" s="1" t="s">
        <v>585</v>
      </c>
      <c r="B396" s="1" t="s">
        <v>4</v>
      </c>
      <c r="C396" s="1" t="s">
        <v>584</v>
      </c>
      <c r="D396" s="2">
        <v>44530</v>
      </c>
      <c r="E396" s="3">
        <v>3969684</v>
      </c>
      <c r="F396" s="3">
        <v>-1753185</v>
      </c>
      <c r="G396" s="3">
        <v>2216499</v>
      </c>
      <c r="H396" s="1" t="s">
        <v>0</v>
      </c>
      <c r="I396" s="1" t="s">
        <v>2</v>
      </c>
      <c r="J396" s="1" t="s">
        <v>355</v>
      </c>
      <c r="K396" s="2"/>
      <c r="L396" s="1">
        <v>47502031</v>
      </c>
      <c r="M396" t="s">
        <v>1279</v>
      </c>
      <c r="N396">
        <v>41750150</v>
      </c>
      <c r="O396" t="s">
        <v>1314</v>
      </c>
    </row>
    <row r="397" spans="1:15" hidden="1" x14ac:dyDescent="0.35">
      <c r="A397" s="1" t="s">
        <v>583</v>
      </c>
      <c r="B397" s="1" t="s">
        <v>4</v>
      </c>
      <c r="C397" s="1" t="s">
        <v>582</v>
      </c>
      <c r="D397" s="2">
        <v>44530</v>
      </c>
      <c r="E397" s="3">
        <v>30536823</v>
      </c>
      <c r="F397" s="3">
        <v>-13486398</v>
      </c>
      <c r="G397" s="3">
        <v>17050425</v>
      </c>
      <c r="H397" s="1" t="s">
        <v>0</v>
      </c>
      <c r="I397" s="1" t="s">
        <v>2</v>
      </c>
      <c r="J397" s="1" t="s">
        <v>355</v>
      </c>
      <c r="K397" s="2"/>
      <c r="L397" s="1">
        <v>47511046</v>
      </c>
      <c r="M397" t="s">
        <v>1305</v>
      </c>
      <c r="N397">
        <v>41751150</v>
      </c>
      <c r="O397" t="s">
        <v>1324</v>
      </c>
    </row>
    <row r="398" spans="1:15" hidden="1" x14ac:dyDescent="0.35">
      <c r="A398" s="1" t="s">
        <v>581</v>
      </c>
      <c r="B398" s="1" t="s">
        <v>4</v>
      </c>
      <c r="C398" s="1" t="s">
        <v>580</v>
      </c>
      <c r="D398" s="2">
        <v>44585</v>
      </c>
      <c r="E398" s="3">
        <v>4724700</v>
      </c>
      <c r="F398" s="3">
        <v>-2015441</v>
      </c>
      <c r="G398" s="3">
        <v>2709259</v>
      </c>
      <c r="H398" s="1" t="s">
        <v>0</v>
      </c>
      <c r="I398" s="1" t="s">
        <v>2</v>
      </c>
      <c r="J398" s="1" t="s">
        <v>355</v>
      </c>
      <c r="K398" s="2"/>
      <c r="L398" s="1">
        <v>47511020</v>
      </c>
      <c r="M398" t="s">
        <v>1308</v>
      </c>
      <c r="N398">
        <v>41751150</v>
      </c>
      <c r="O398" t="s">
        <v>1324</v>
      </c>
    </row>
    <row r="399" spans="1:15" x14ac:dyDescent="0.35">
      <c r="A399" s="1" t="s">
        <v>579</v>
      </c>
      <c r="B399" s="1" t="s">
        <v>4</v>
      </c>
      <c r="C399" s="1" t="s">
        <v>578</v>
      </c>
      <c r="D399" s="2">
        <v>44670</v>
      </c>
      <c r="E399" s="3">
        <v>10472000</v>
      </c>
      <c r="F399" s="3">
        <v>-4223229</v>
      </c>
      <c r="G399" s="3">
        <v>6248771</v>
      </c>
      <c r="H399" s="1" t="s">
        <v>0</v>
      </c>
      <c r="I399" s="1" t="s">
        <v>2</v>
      </c>
      <c r="J399" s="1" t="s">
        <v>76</v>
      </c>
      <c r="K399" s="2"/>
      <c r="L399" s="14">
        <v>47544017</v>
      </c>
      <c r="M399" t="s">
        <v>1283</v>
      </c>
      <c r="N399" s="12">
        <v>41754150</v>
      </c>
      <c r="O399" t="s">
        <v>1315</v>
      </c>
    </row>
    <row r="400" spans="1:15" x14ac:dyDescent="0.35">
      <c r="A400" s="1" t="s">
        <v>576</v>
      </c>
      <c r="B400" s="1" t="s">
        <v>4</v>
      </c>
      <c r="C400" s="1" t="s">
        <v>577</v>
      </c>
      <c r="D400" s="2">
        <v>44642</v>
      </c>
      <c r="E400" s="17">
        <v>44965500</v>
      </c>
      <c r="F400" s="17">
        <v>-18478973</v>
      </c>
      <c r="G400" s="17">
        <v>26486527</v>
      </c>
      <c r="H400" s="1" t="s">
        <v>0</v>
      </c>
      <c r="I400" s="1" t="s">
        <v>2</v>
      </c>
      <c r="J400" s="16" t="s">
        <v>24</v>
      </c>
      <c r="K400" s="2"/>
      <c r="L400" s="14">
        <v>47544024</v>
      </c>
      <c r="M400" t="s">
        <v>1275</v>
      </c>
      <c r="N400" s="12">
        <v>41754150</v>
      </c>
      <c r="O400" t="s">
        <v>1356</v>
      </c>
    </row>
    <row r="401" spans="1:15" x14ac:dyDescent="0.35">
      <c r="A401" s="1" t="s">
        <v>576</v>
      </c>
      <c r="B401" s="1" t="s">
        <v>23</v>
      </c>
      <c r="C401" s="1" t="s">
        <v>575</v>
      </c>
      <c r="D401" s="2">
        <v>44750</v>
      </c>
      <c r="E401" s="17">
        <v>5500000</v>
      </c>
      <c r="F401" s="17">
        <v>-2097534</v>
      </c>
      <c r="G401" s="17">
        <v>3402466</v>
      </c>
      <c r="H401" s="1" t="s">
        <v>0</v>
      </c>
      <c r="I401" s="1" t="s">
        <v>2</v>
      </c>
      <c r="J401" s="16" t="s">
        <v>24</v>
      </c>
      <c r="K401" s="2"/>
      <c r="L401" s="14">
        <v>47544024</v>
      </c>
      <c r="M401" t="s">
        <v>1275</v>
      </c>
      <c r="N401" s="12">
        <v>41754150</v>
      </c>
      <c r="O401" t="s">
        <v>1356</v>
      </c>
    </row>
    <row r="402" spans="1:15" x14ac:dyDescent="0.35">
      <c r="A402" s="1" t="s">
        <v>574</v>
      </c>
      <c r="B402" s="1" t="s">
        <v>4</v>
      </c>
      <c r="C402" s="1" t="s">
        <v>573</v>
      </c>
      <c r="D402" s="2">
        <v>44672</v>
      </c>
      <c r="E402" s="3">
        <v>31899999</v>
      </c>
      <c r="F402" s="3">
        <v>-12847397</v>
      </c>
      <c r="G402" s="3">
        <v>19052602</v>
      </c>
      <c r="H402" s="1" t="s">
        <v>0</v>
      </c>
      <c r="I402" s="1" t="s">
        <v>2</v>
      </c>
      <c r="J402" s="1" t="s">
        <v>76</v>
      </c>
      <c r="K402" s="2"/>
      <c r="L402" s="14">
        <v>47544032</v>
      </c>
      <c r="M402" t="s">
        <v>1277</v>
      </c>
      <c r="N402" s="12">
        <v>41754150</v>
      </c>
      <c r="O402" t="s">
        <v>1346</v>
      </c>
    </row>
    <row r="403" spans="1:15" hidden="1" x14ac:dyDescent="0.35">
      <c r="A403" s="1" t="s">
        <v>572</v>
      </c>
      <c r="B403" s="1" t="s">
        <v>4</v>
      </c>
      <c r="C403" s="1" t="s">
        <v>571</v>
      </c>
      <c r="D403" s="2">
        <v>44629</v>
      </c>
      <c r="E403" s="3">
        <v>4318420</v>
      </c>
      <c r="F403" s="3">
        <v>-4318420</v>
      </c>
      <c r="G403" s="3">
        <v>0</v>
      </c>
      <c r="H403" s="1" t="s">
        <v>0</v>
      </c>
      <c r="I403" s="1" t="s">
        <v>2</v>
      </c>
      <c r="J403" s="1" t="s">
        <v>56</v>
      </c>
      <c r="K403" s="2"/>
      <c r="L403" s="1">
        <v>47567102</v>
      </c>
      <c r="M403" t="s">
        <v>1273</v>
      </c>
      <c r="N403">
        <v>41756150</v>
      </c>
      <c r="O403" t="s">
        <v>1320</v>
      </c>
    </row>
    <row r="404" spans="1:15" hidden="1" x14ac:dyDescent="0.35">
      <c r="A404" s="1" t="s">
        <v>570</v>
      </c>
      <c r="B404" s="1" t="s">
        <v>4</v>
      </c>
      <c r="C404" s="1" t="s">
        <v>566</v>
      </c>
      <c r="D404" s="2">
        <v>44672</v>
      </c>
      <c r="E404" s="3">
        <v>4086056</v>
      </c>
      <c r="F404" s="3">
        <v>-3291233</v>
      </c>
      <c r="G404" s="3">
        <v>794823</v>
      </c>
      <c r="H404" s="1" t="s">
        <v>0</v>
      </c>
      <c r="I404" s="1" t="s">
        <v>2</v>
      </c>
      <c r="J404" s="1" t="s">
        <v>56</v>
      </c>
      <c r="K404" s="2"/>
      <c r="L404" s="1">
        <v>47511045</v>
      </c>
      <c r="M404" t="s">
        <v>1304</v>
      </c>
      <c r="N404">
        <v>41751150</v>
      </c>
      <c r="O404" t="s">
        <v>1324</v>
      </c>
    </row>
    <row r="405" spans="1:15" hidden="1" x14ac:dyDescent="0.35">
      <c r="A405" s="1" t="s">
        <v>569</v>
      </c>
      <c r="B405" s="1" t="s">
        <v>4</v>
      </c>
      <c r="C405" s="1" t="s">
        <v>566</v>
      </c>
      <c r="D405" s="2">
        <v>44672</v>
      </c>
      <c r="E405" s="3">
        <v>4086056</v>
      </c>
      <c r="F405" s="3">
        <v>-3291233</v>
      </c>
      <c r="G405" s="3">
        <v>794823</v>
      </c>
      <c r="H405" s="1" t="s">
        <v>0</v>
      </c>
      <c r="I405" s="1" t="s">
        <v>2</v>
      </c>
      <c r="J405" s="1" t="s">
        <v>56</v>
      </c>
      <c r="K405" s="2"/>
      <c r="L405" s="1">
        <v>47511051</v>
      </c>
      <c r="M405" t="s">
        <v>1299</v>
      </c>
      <c r="N405">
        <v>41751150</v>
      </c>
      <c r="O405" t="s">
        <v>1324</v>
      </c>
    </row>
    <row r="406" spans="1:15" hidden="1" x14ac:dyDescent="0.35">
      <c r="A406" s="1" t="s">
        <v>568</v>
      </c>
      <c r="B406" s="1" t="s">
        <v>4</v>
      </c>
      <c r="C406" s="1" t="s">
        <v>566</v>
      </c>
      <c r="D406" s="2">
        <v>44672</v>
      </c>
      <c r="E406" s="3">
        <v>4086057</v>
      </c>
      <c r="F406" s="3">
        <v>-3291234</v>
      </c>
      <c r="G406" s="3">
        <v>794823</v>
      </c>
      <c r="H406" s="1" t="s">
        <v>0</v>
      </c>
      <c r="I406" s="1" t="s">
        <v>2</v>
      </c>
      <c r="J406" s="1" t="s">
        <v>56</v>
      </c>
      <c r="K406" s="2"/>
      <c r="L406" s="1">
        <v>47511046</v>
      </c>
      <c r="M406" t="s">
        <v>1305</v>
      </c>
      <c r="N406">
        <v>41751150</v>
      </c>
      <c r="O406" t="s">
        <v>1324</v>
      </c>
    </row>
    <row r="407" spans="1:15" hidden="1" x14ac:dyDescent="0.35">
      <c r="A407" s="1" t="s">
        <v>567</v>
      </c>
      <c r="B407" s="1" t="s">
        <v>4</v>
      </c>
      <c r="C407" s="1" t="s">
        <v>566</v>
      </c>
      <c r="D407" s="2">
        <v>44672</v>
      </c>
      <c r="E407" s="3">
        <v>4086057</v>
      </c>
      <c r="F407" s="3">
        <v>-3291234</v>
      </c>
      <c r="G407" s="3">
        <v>794823</v>
      </c>
      <c r="H407" s="1" t="s">
        <v>0</v>
      </c>
      <c r="I407" s="1" t="s">
        <v>2</v>
      </c>
      <c r="J407" s="1" t="s">
        <v>56</v>
      </c>
      <c r="K407" s="2"/>
      <c r="L407" s="1">
        <v>47567021</v>
      </c>
      <c r="M407" t="s">
        <v>1285</v>
      </c>
      <c r="N407" s="22">
        <v>41756150</v>
      </c>
      <c r="O407" t="s">
        <v>1322</v>
      </c>
    </row>
    <row r="408" spans="1:15" x14ac:dyDescent="0.35">
      <c r="A408" s="1" t="s">
        <v>565</v>
      </c>
      <c r="B408" s="1" t="s">
        <v>4</v>
      </c>
      <c r="C408" s="1" t="s">
        <v>564</v>
      </c>
      <c r="D408" s="2">
        <v>44858</v>
      </c>
      <c r="E408" s="3">
        <v>398581813</v>
      </c>
      <c r="F408" s="3">
        <v>-140213437</v>
      </c>
      <c r="G408" s="3">
        <v>258368376</v>
      </c>
      <c r="H408" s="1" t="s">
        <v>0</v>
      </c>
      <c r="I408" s="1" t="s">
        <v>2</v>
      </c>
      <c r="J408" s="1" t="s">
        <v>355</v>
      </c>
      <c r="K408" s="2"/>
      <c r="L408" s="14">
        <v>47567021</v>
      </c>
      <c r="M408" t="s">
        <v>1285</v>
      </c>
      <c r="N408" s="12">
        <v>41756150</v>
      </c>
      <c r="O408" t="s">
        <v>1322</v>
      </c>
    </row>
    <row r="409" spans="1:15" x14ac:dyDescent="0.35">
      <c r="A409" s="1" t="s">
        <v>563</v>
      </c>
      <c r="B409" s="1" t="s">
        <v>4</v>
      </c>
      <c r="C409" s="1" t="s">
        <v>562</v>
      </c>
      <c r="D409" s="2">
        <v>44858</v>
      </c>
      <c r="E409" s="3">
        <v>99169178</v>
      </c>
      <c r="F409" s="3">
        <v>-34885816</v>
      </c>
      <c r="G409" s="3">
        <v>64283362</v>
      </c>
      <c r="H409" s="1" t="s">
        <v>0</v>
      </c>
      <c r="I409" s="1" t="s">
        <v>2</v>
      </c>
      <c r="J409" s="1" t="s">
        <v>355</v>
      </c>
      <c r="K409" s="2"/>
      <c r="L409" s="14">
        <v>47567021</v>
      </c>
      <c r="M409" t="s">
        <v>1285</v>
      </c>
      <c r="N409" s="12">
        <v>41756150</v>
      </c>
      <c r="O409" t="s">
        <v>1322</v>
      </c>
    </row>
    <row r="410" spans="1:15" x14ac:dyDescent="0.35">
      <c r="A410" s="1" t="s">
        <v>561</v>
      </c>
      <c r="B410" s="1" t="s">
        <v>4</v>
      </c>
      <c r="C410" s="1" t="s">
        <v>560</v>
      </c>
      <c r="D410" s="2">
        <v>44858</v>
      </c>
      <c r="E410" s="3">
        <v>165357837</v>
      </c>
      <c r="F410" s="3">
        <v>-58169717</v>
      </c>
      <c r="G410" s="3">
        <v>107188120</v>
      </c>
      <c r="H410" s="1" t="s">
        <v>0</v>
      </c>
      <c r="I410" s="1" t="s">
        <v>2</v>
      </c>
      <c r="J410" s="1" t="s">
        <v>355</v>
      </c>
      <c r="K410" s="2"/>
      <c r="L410" s="14">
        <v>47544032</v>
      </c>
      <c r="M410" t="s">
        <v>1277</v>
      </c>
      <c r="N410" s="12">
        <v>41754150</v>
      </c>
      <c r="O410" t="s">
        <v>1321</v>
      </c>
    </row>
    <row r="411" spans="1:15" hidden="1" x14ac:dyDescent="0.35">
      <c r="A411" s="1" t="s">
        <v>559</v>
      </c>
      <c r="B411" s="1" t="s">
        <v>4</v>
      </c>
      <c r="C411" s="1" t="s">
        <v>558</v>
      </c>
      <c r="D411" s="2">
        <v>44699</v>
      </c>
      <c r="E411" s="3">
        <v>4378212</v>
      </c>
      <c r="F411" s="3">
        <v>-3461785</v>
      </c>
      <c r="G411" s="3">
        <v>916427</v>
      </c>
      <c r="H411" s="1" t="s">
        <v>0</v>
      </c>
      <c r="I411" s="1" t="s">
        <v>2</v>
      </c>
      <c r="J411" s="1" t="s">
        <v>56</v>
      </c>
      <c r="K411" s="2"/>
      <c r="L411" s="1">
        <v>47500021</v>
      </c>
      <c r="M411" t="s">
        <v>1294</v>
      </c>
      <c r="N411">
        <v>41750150</v>
      </c>
      <c r="O411" t="s">
        <v>1314</v>
      </c>
    </row>
    <row r="412" spans="1:15" x14ac:dyDescent="0.35">
      <c r="A412" s="1" t="s">
        <v>557</v>
      </c>
      <c r="B412" s="1" t="s">
        <v>4</v>
      </c>
      <c r="C412" s="1" t="s">
        <v>556</v>
      </c>
      <c r="D412" s="2">
        <v>44714</v>
      </c>
      <c r="E412" s="3">
        <v>3700000</v>
      </c>
      <c r="F412" s="3">
        <v>-1447562</v>
      </c>
      <c r="G412" s="3">
        <v>2252438</v>
      </c>
      <c r="H412" s="1" t="s">
        <v>0</v>
      </c>
      <c r="I412" s="1" t="s">
        <v>2</v>
      </c>
      <c r="J412" s="1" t="s">
        <v>76</v>
      </c>
      <c r="K412" s="2"/>
      <c r="L412" s="14">
        <v>47544034</v>
      </c>
      <c r="M412" t="s">
        <v>1309</v>
      </c>
      <c r="N412" s="12">
        <v>41754150</v>
      </c>
      <c r="O412" t="s">
        <v>1352</v>
      </c>
    </row>
    <row r="413" spans="1:15" hidden="1" x14ac:dyDescent="0.35">
      <c r="A413" s="1" t="s">
        <v>555</v>
      </c>
      <c r="B413" s="1" t="s">
        <v>4</v>
      </c>
      <c r="C413" s="1" t="s">
        <v>554</v>
      </c>
      <c r="D413" s="2">
        <v>44722</v>
      </c>
      <c r="E413" s="3">
        <v>3498600</v>
      </c>
      <c r="F413" s="3">
        <v>-2722198</v>
      </c>
      <c r="G413" s="3">
        <v>776402</v>
      </c>
      <c r="H413" s="1" t="s">
        <v>0</v>
      </c>
      <c r="I413" s="1" t="s">
        <v>2</v>
      </c>
      <c r="J413" s="1" t="s">
        <v>56</v>
      </c>
      <c r="K413" s="2"/>
      <c r="L413" s="1">
        <v>47544010</v>
      </c>
      <c r="M413" t="s">
        <v>1296</v>
      </c>
      <c r="N413">
        <v>41754150</v>
      </c>
      <c r="O413" t="s">
        <v>1314</v>
      </c>
    </row>
    <row r="414" spans="1:15" x14ac:dyDescent="0.35">
      <c r="A414" s="1" t="s">
        <v>553</v>
      </c>
      <c r="B414" s="1" t="s">
        <v>4</v>
      </c>
      <c r="C414" s="1" t="s">
        <v>552</v>
      </c>
      <c r="D414" s="2">
        <v>44848</v>
      </c>
      <c r="E414" s="3">
        <v>16096320</v>
      </c>
      <c r="F414" s="3">
        <v>-11412952</v>
      </c>
      <c r="G414" s="3">
        <v>4683368</v>
      </c>
      <c r="H414" s="1" t="s">
        <v>0</v>
      </c>
      <c r="I414" s="1" t="s">
        <v>2</v>
      </c>
      <c r="J414" s="1" t="s">
        <v>202</v>
      </c>
      <c r="K414" s="2"/>
      <c r="L414" s="14">
        <v>47567064</v>
      </c>
      <c r="M414" t="s">
        <v>1271</v>
      </c>
      <c r="N414" s="12">
        <v>41756150</v>
      </c>
      <c r="O414" t="s">
        <v>1321</v>
      </c>
    </row>
    <row r="415" spans="1:15" x14ac:dyDescent="0.35">
      <c r="A415" s="1" t="s">
        <v>551</v>
      </c>
      <c r="B415" s="1" t="s">
        <v>4</v>
      </c>
      <c r="C415" s="13" t="s">
        <v>428</v>
      </c>
      <c r="D415" s="2">
        <v>44909</v>
      </c>
      <c r="E415" s="3">
        <v>39741318</v>
      </c>
      <c r="F415" s="3">
        <v>-13411560</v>
      </c>
      <c r="G415" s="3">
        <v>26329758</v>
      </c>
      <c r="H415" s="1" t="s">
        <v>0</v>
      </c>
      <c r="I415" s="1" t="s">
        <v>2</v>
      </c>
      <c r="J415" s="1" t="s">
        <v>24</v>
      </c>
      <c r="K415" s="2"/>
      <c r="L415" s="14">
        <v>47544021</v>
      </c>
      <c r="M415" t="s">
        <v>1282</v>
      </c>
      <c r="N415" s="12">
        <v>41754150</v>
      </c>
      <c r="O415" t="s">
        <v>1352</v>
      </c>
    </row>
    <row r="416" spans="1:15" x14ac:dyDescent="0.35">
      <c r="A416" s="1" t="s">
        <v>550</v>
      </c>
      <c r="B416" s="1" t="s">
        <v>4</v>
      </c>
      <c r="C416" s="1" t="s">
        <v>426</v>
      </c>
      <c r="D416" s="2">
        <v>44909</v>
      </c>
      <c r="E416" s="3">
        <v>45040155</v>
      </c>
      <c r="F416" s="3">
        <v>-15199765</v>
      </c>
      <c r="G416" s="3">
        <v>29840390</v>
      </c>
      <c r="H416" s="1" t="s">
        <v>0</v>
      </c>
      <c r="I416" s="1" t="s">
        <v>2</v>
      </c>
      <c r="J416" s="1" t="s">
        <v>24</v>
      </c>
      <c r="K416" s="2"/>
      <c r="L416" s="14">
        <v>47544021</v>
      </c>
      <c r="M416" t="s">
        <v>1282</v>
      </c>
      <c r="N416" s="12">
        <v>41754150</v>
      </c>
      <c r="O416" t="s">
        <v>1352</v>
      </c>
    </row>
    <row r="417" spans="1:15" x14ac:dyDescent="0.35">
      <c r="A417" s="1" t="s">
        <v>549</v>
      </c>
      <c r="B417" s="1" t="s">
        <v>4</v>
      </c>
      <c r="C417" s="1" t="s">
        <v>424</v>
      </c>
      <c r="D417" s="2">
        <v>44909</v>
      </c>
      <c r="E417" s="3">
        <v>63586068</v>
      </c>
      <c r="F417" s="3">
        <v>-21458481</v>
      </c>
      <c r="G417" s="3">
        <v>42127587</v>
      </c>
      <c r="H417" s="1" t="s">
        <v>0</v>
      </c>
      <c r="I417" s="1" t="s">
        <v>2</v>
      </c>
      <c r="J417" s="1" t="s">
        <v>24</v>
      </c>
      <c r="K417" s="2"/>
      <c r="L417" s="14">
        <v>47544021</v>
      </c>
      <c r="M417" t="s">
        <v>1282</v>
      </c>
      <c r="N417" s="12">
        <v>41754150</v>
      </c>
      <c r="O417" t="s">
        <v>1352</v>
      </c>
    </row>
    <row r="418" spans="1:15" hidden="1" x14ac:dyDescent="0.35">
      <c r="A418" s="1" t="s">
        <v>548</v>
      </c>
      <c r="B418" s="1" t="s">
        <v>4</v>
      </c>
      <c r="C418" s="1" t="s">
        <v>547</v>
      </c>
      <c r="D418" s="2">
        <v>44740</v>
      </c>
      <c r="E418" s="3">
        <v>3744997</v>
      </c>
      <c r="F418" s="3">
        <v>-2876977</v>
      </c>
      <c r="G418" s="3">
        <v>868020</v>
      </c>
      <c r="H418" s="1" t="s">
        <v>0</v>
      </c>
      <c r="I418" s="1" t="s">
        <v>2</v>
      </c>
      <c r="J418" s="1" t="s">
        <v>56</v>
      </c>
      <c r="K418" s="2"/>
      <c r="L418" s="1">
        <v>47511046</v>
      </c>
      <c r="M418" t="s">
        <v>1305</v>
      </c>
      <c r="N418">
        <v>41751150</v>
      </c>
      <c r="O418" t="s">
        <v>1324</v>
      </c>
    </row>
    <row r="419" spans="1:15" hidden="1" x14ac:dyDescent="0.35">
      <c r="A419" s="1" t="s">
        <v>546</v>
      </c>
      <c r="B419" s="1" t="s">
        <v>4</v>
      </c>
      <c r="C419" s="1" t="s">
        <v>545</v>
      </c>
      <c r="D419" s="2">
        <v>44792</v>
      </c>
      <c r="E419" s="3">
        <v>8211029</v>
      </c>
      <c r="F419" s="3">
        <v>-3036957</v>
      </c>
      <c r="G419" s="3">
        <v>5174072</v>
      </c>
      <c r="H419" s="1" t="s">
        <v>0</v>
      </c>
      <c r="I419" s="1" t="s">
        <v>2</v>
      </c>
      <c r="J419" s="1" t="s">
        <v>76</v>
      </c>
      <c r="K419" s="2"/>
      <c r="L419" s="1">
        <v>47500021</v>
      </c>
      <c r="M419" t="s">
        <v>1294</v>
      </c>
      <c r="N419">
        <v>41750150</v>
      </c>
      <c r="O419" t="s">
        <v>1314</v>
      </c>
    </row>
    <row r="420" spans="1:15" x14ac:dyDescent="0.35">
      <c r="A420" s="1" t="s">
        <v>544</v>
      </c>
      <c r="B420" s="1" t="s">
        <v>4</v>
      </c>
      <c r="C420" s="1" t="s">
        <v>543</v>
      </c>
      <c r="D420" s="2">
        <v>44777</v>
      </c>
      <c r="E420" s="3">
        <v>4203581</v>
      </c>
      <c r="F420" s="3">
        <v>-1572024</v>
      </c>
      <c r="G420" s="3">
        <v>2631557</v>
      </c>
      <c r="H420" s="1" t="s">
        <v>0</v>
      </c>
      <c r="I420" s="1" t="s">
        <v>2</v>
      </c>
      <c r="J420" s="1" t="s">
        <v>202</v>
      </c>
      <c r="K420" s="2"/>
      <c r="L420" s="14">
        <v>47544032</v>
      </c>
      <c r="M420" t="s">
        <v>1277</v>
      </c>
      <c r="N420" s="12">
        <v>41754150</v>
      </c>
      <c r="O420" t="s">
        <v>1321</v>
      </c>
    </row>
    <row r="421" spans="1:15" x14ac:dyDescent="0.35">
      <c r="A421" s="1" t="s">
        <v>542</v>
      </c>
      <c r="B421" s="1" t="s">
        <v>4</v>
      </c>
      <c r="C421" s="1" t="s">
        <v>541</v>
      </c>
      <c r="D421" s="2">
        <v>44777</v>
      </c>
      <c r="E421" s="3">
        <v>4203581</v>
      </c>
      <c r="F421" s="3">
        <v>-1572024</v>
      </c>
      <c r="G421" s="3">
        <v>2631557</v>
      </c>
      <c r="H421" s="1" t="s">
        <v>0</v>
      </c>
      <c r="I421" s="1" t="s">
        <v>2</v>
      </c>
      <c r="J421" s="1" t="s">
        <v>202</v>
      </c>
      <c r="K421" s="2"/>
      <c r="L421" s="14">
        <v>47544032</v>
      </c>
      <c r="M421" t="s">
        <v>1277</v>
      </c>
      <c r="N421" s="12">
        <v>41754150</v>
      </c>
      <c r="O421" t="s">
        <v>1321</v>
      </c>
    </row>
    <row r="422" spans="1:15" x14ac:dyDescent="0.35">
      <c r="A422" s="1" t="s">
        <v>540</v>
      </c>
      <c r="B422" s="1" t="s">
        <v>4</v>
      </c>
      <c r="C422" s="1" t="s">
        <v>539</v>
      </c>
      <c r="D422" s="2">
        <v>44782</v>
      </c>
      <c r="E422" s="3">
        <v>2990000</v>
      </c>
      <c r="F422" s="3">
        <v>-1114082</v>
      </c>
      <c r="G422" s="3">
        <v>1875918</v>
      </c>
      <c r="H422" s="1" t="s">
        <v>0</v>
      </c>
      <c r="I422" s="1" t="s">
        <v>2</v>
      </c>
      <c r="J422" s="1" t="s">
        <v>76</v>
      </c>
      <c r="K422" s="2"/>
      <c r="L422" s="14">
        <v>47544019</v>
      </c>
      <c r="M422" t="s">
        <v>1290</v>
      </c>
      <c r="N422" s="12">
        <v>41754150</v>
      </c>
      <c r="O422" t="s">
        <v>1363</v>
      </c>
    </row>
    <row r="423" spans="1:15" x14ac:dyDescent="0.35">
      <c r="A423" s="1" t="s">
        <v>538</v>
      </c>
      <c r="B423" s="1" t="s">
        <v>4</v>
      </c>
      <c r="C423" s="1" t="s">
        <v>537</v>
      </c>
      <c r="D423" s="2">
        <v>44802</v>
      </c>
      <c r="E423" s="3">
        <v>33938450</v>
      </c>
      <c r="F423" s="3">
        <v>-12459596</v>
      </c>
      <c r="G423" s="3">
        <v>21478854</v>
      </c>
      <c r="H423" s="1" t="s">
        <v>0</v>
      </c>
      <c r="I423" s="1" t="s">
        <v>2</v>
      </c>
      <c r="J423" s="1" t="s">
        <v>76</v>
      </c>
      <c r="K423" s="2"/>
      <c r="L423" s="20">
        <v>47544013</v>
      </c>
      <c r="M423" t="s">
        <v>1284</v>
      </c>
      <c r="N423" s="12">
        <v>41754150</v>
      </c>
      <c r="O423" t="s">
        <v>1317</v>
      </c>
    </row>
    <row r="424" spans="1:15" x14ac:dyDescent="0.35">
      <c r="A424" s="1" t="s">
        <v>536</v>
      </c>
      <c r="B424" s="1" t="s">
        <v>4</v>
      </c>
      <c r="C424" s="1" t="s">
        <v>535</v>
      </c>
      <c r="D424" s="2">
        <v>45077</v>
      </c>
      <c r="E424" s="17">
        <v>19125000</v>
      </c>
      <c r="F424" s="17">
        <v>-5580308</v>
      </c>
      <c r="G424" s="17">
        <v>13544692</v>
      </c>
      <c r="H424" s="1" t="s">
        <v>0</v>
      </c>
      <c r="I424" s="1" t="s">
        <v>2</v>
      </c>
      <c r="J424" s="16" t="s">
        <v>24</v>
      </c>
      <c r="K424" s="2"/>
      <c r="L424" s="14">
        <v>47544024</v>
      </c>
      <c r="M424" t="s">
        <v>1275</v>
      </c>
      <c r="N424" s="12">
        <v>41754150</v>
      </c>
      <c r="O424" t="s">
        <v>1346</v>
      </c>
    </row>
    <row r="425" spans="1:15" hidden="1" x14ac:dyDescent="0.35">
      <c r="A425" s="1" t="s">
        <v>534</v>
      </c>
      <c r="B425" s="1" t="s">
        <v>4</v>
      </c>
      <c r="C425" s="1" t="s">
        <v>533</v>
      </c>
      <c r="D425" s="2">
        <v>44797</v>
      </c>
      <c r="E425" s="3">
        <v>2980000</v>
      </c>
      <c r="F425" s="3">
        <v>-2196219</v>
      </c>
      <c r="G425" s="3">
        <v>783781</v>
      </c>
      <c r="H425" s="1" t="s">
        <v>0</v>
      </c>
      <c r="I425" s="1" t="s">
        <v>2</v>
      </c>
      <c r="J425" s="1" t="s">
        <v>56</v>
      </c>
      <c r="K425" s="2"/>
      <c r="L425" s="1">
        <v>47567101</v>
      </c>
      <c r="M425" t="s">
        <v>1270</v>
      </c>
      <c r="N425">
        <v>41756150</v>
      </c>
      <c r="O425" t="s">
        <v>1318</v>
      </c>
    </row>
    <row r="426" spans="1:15" hidden="1" x14ac:dyDescent="0.35">
      <c r="A426" s="1" t="s">
        <v>532</v>
      </c>
      <c r="B426" s="1" t="s">
        <v>4</v>
      </c>
      <c r="C426" s="1" t="s">
        <v>531</v>
      </c>
      <c r="D426" s="2">
        <v>44797</v>
      </c>
      <c r="E426" s="3">
        <v>2980000</v>
      </c>
      <c r="F426" s="3">
        <v>-2196219</v>
      </c>
      <c r="G426" s="3">
        <v>783781</v>
      </c>
      <c r="H426" s="1" t="s">
        <v>0</v>
      </c>
      <c r="I426" s="1" t="s">
        <v>2</v>
      </c>
      <c r="J426" s="1" t="s">
        <v>56</v>
      </c>
      <c r="K426" s="2"/>
      <c r="L426" s="1">
        <v>47500021</v>
      </c>
      <c r="M426" t="s">
        <v>1294</v>
      </c>
      <c r="N426">
        <v>41750150</v>
      </c>
      <c r="O426" t="s">
        <v>1314</v>
      </c>
    </row>
    <row r="427" spans="1:15" hidden="1" x14ac:dyDescent="0.35">
      <c r="A427" s="1" t="s">
        <v>530</v>
      </c>
      <c r="B427" s="1" t="s">
        <v>4</v>
      </c>
      <c r="C427" s="1" t="s">
        <v>529</v>
      </c>
      <c r="D427" s="2">
        <v>44797</v>
      </c>
      <c r="E427" s="3">
        <v>2980000</v>
      </c>
      <c r="F427" s="3">
        <v>-2196219</v>
      </c>
      <c r="G427" s="3">
        <v>783781</v>
      </c>
      <c r="H427" s="1" t="s">
        <v>0</v>
      </c>
      <c r="I427" s="1" t="s">
        <v>2</v>
      </c>
      <c r="J427" s="1" t="s">
        <v>56</v>
      </c>
      <c r="K427" s="2"/>
      <c r="L427" s="1">
        <v>47511021</v>
      </c>
      <c r="M427" t="s">
        <v>1300</v>
      </c>
      <c r="N427">
        <v>41751150</v>
      </c>
      <c r="O427" t="s">
        <v>1324</v>
      </c>
    </row>
    <row r="428" spans="1:15" hidden="1" x14ac:dyDescent="0.35">
      <c r="A428" s="1" t="s">
        <v>528</v>
      </c>
      <c r="B428" s="1" t="s">
        <v>4</v>
      </c>
      <c r="C428" s="1" t="s">
        <v>527</v>
      </c>
      <c r="D428" s="2">
        <v>44797</v>
      </c>
      <c r="E428" s="3">
        <v>3924900</v>
      </c>
      <c r="F428" s="3">
        <v>-2892598</v>
      </c>
      <c r="G428" s="3">
        <v>1032302</v>
      </c>
      <c r="H428" s="1" t="s">
        <v>0</v>
      </c>
      <c r="I428" s="1" t="s">
        <v>2</v>
      </c>
      <c r="J428" s="1" t="s">
        <v>56</v>
      </c>
      <c r="K428" s="2"/>
      <c r="L428" s="1">
        <v>47544010</v>
      </c>
      <c r="M428" t="s">
        <v>1296</v>
      </c>
      <c r="N428">
        <v>41754150</v>
      </c>
      <c r="O428" t="s">
        <v>1314</v>
      </c>
    </row>
    <row r="429" spans="1:15" hidden="1" x14ac:dyDescent="0.35">
      <c r="A429" s="1" t="s">
        <v>526</v>
      </c>
      <c r="B429" s="1" t="s">
        <v>4</v>
      </c>
      <c r="C429" s="1" t="s">
        <v>525</v>
      </c>
      <c r="D429" s="2">
        <v>44797</v>
      </c>
      <c r="E429" s="3">
        <v>4160000</v>
      </c>
      <c r="F429" s="3">
        <v>-3065863</v>
      </c>
      <c r="G429" s="3">
        <v>1094137</v>
      </c>
      <c r="H429" s="1" t="s">
        <v>0</v>
      </c>
      <c r="I429" s="1" t="s">
        <v>2</v>
      </c>
      <c r="J429" s="1" t="s">
        <v>56</v>
      </c>
      <c r="K429" s="2"/>
      <c r="L429" s="1">
        <v>47567062</v>
      </c>
      <c r="M429" t="s">
        <v>1292</v>
      </c>
      <c r="N429">
        <v>41756150</v>
      </c>
      <c r="O429" t="s">
        <v>1323</v>
      </c>
    </row>
    <row r="430" spans="1:15" hidden="1" x14ac:dyDescent="0.35">
      <c r="A430" s="1" t="s">
        <v>524</v>
      </c>
      <c r="B430" s="1" t="s">
        <v>4</v>
      </c>
      <c r="C430" s="1" t="s">
        <v>523</v>
      </c>
      <c r="D430" s="2">
        <v>44810</v>
      </c>
      <c r="E430" s="3">
        <v>240000000</v>
      </c>
      <c r="F430" s="3">
        <v>-87583562</v>
      </c>
      <c r="G430" s="3">
        <v>152416438</v>
      </c>
      <c r="H430" s="1" t="s">
        <v>0</v>
      </c>
      <c r="I430" s="1" t="s">
        <v>2</v>
      </c>
      <c r="J430" s="1" t="s">
        <v>522</v>
      </c>
      <c r="K430" s="2"/>
      <c r="L430" s="1">
        <v>47500000</v>
      </c>
      <c r="M430" t="s">
        <v>1295</v>
      </c>
      <c r="N430">
        <v>41750150</v>
      </c>
      <c r="O430" t="s">
        <v>1314</v>
      </c>
    </row>
    <row r="431" spans="1:15" hidden="1" x14ac:dyDescent="0.35">
      <c r="A431" s="1" t="s">
        <v>521</v>
      </c>
      <c r="B431" s="1" t="s">
        <v>4</v>
      </c>
      <c r="C431" s="1" t="s">
        <v>520</v>
      </c>
      <c r="D431" s="2">
        <v>44840</v>
      </c>
      <c r="E431" s="3">
        <v>4170000</v>
      </c>
      <c r="F431" s="3">
        <v>-2974981</v>
      </c>
      <c r="G431" s="3">
        <v>1195019</v>
      </c>
      <c r="H431" s="1" t="s">
        <v>0</v>
      </c>
      <c r="I431" s="1" t="s">
        <v>2</v>
      </c>
      <c r="J431" s="1" t="s">
        <v>56</v>
      </c>
      <c r="K431" s="2"/>
      <c r="L431" s="1">
        <v>47567062</v>
      </c>
      <c r="M431" t="s">
        <v>1292</v>
      </c>
      <c r="N431">
        <v>41756150</v>
      </c>
      <c r="O431" t="s">
        <v>1323</v>
      </c>
    </row>
    <row r="432" spans="1:15" hidden="1" x14ac:dyDescent="0.35">
      <c r="A432" s="1" t="s">
        <v>519</v>
      </c>
      <c r="B432" s="1" t="s">
        <v>4</v>
      </c>
      <c r="C432" s="1" t="s">
        <v>518</v>
      </c>
      <c r="D432" s="2">
        <v>44840</v>
      </c>
      <c r="E432" s="3">
        <v>4170000</v>
      </c>
      <c r="F432" s="3">
        <v>-2974981</v>
      </c>
      <c r="G432" s="3">
        <v>1195019</v>
      </c>
      <c r="H432" s="1" t="s">
        <v>0</v>
      </c>
      <c r="I432" s="1" t="s">
        <v>2</v>
      </c>
      <c r="J432" s="1" t="s">
        <v>56</v>
      </c>
      <c r="K432" s="2"/>
      <c r="L432" s="1">
        <v>47567062</v>
      </c>
      <c r="M432" t="s">
        <v>1292</v>
      </c>
      <c r="N432">
        <v>41756150</v>
      </c>
      <c r="O432" t="s">
        <v>1323</v>
      </c>
    </row>
    <row r="433" spans="1:15" hidden="1" x14ac:dyDescent="0.35">
      <c r="A433" s="1" t="s">
        <v>517</v>
      </c>
      <c r="B433" s="1" t="s">
        <v>4</v>
      </c>
      <c r="C433" s="1" t="s">
        <v>516</v>
      </c>
      <c r="D433" s="2">
        <v>44840</v>
      </c>
      <c r="E433" s="3">
        <v>4170000</v>
      </c>
      <c r="F433" s="3">
        <v>-2974981</v>
      </c>
      <c r="G433" s="3">
        <v>1195019</v>
      </c>
      <c r="H433" s="1" t="s">
        <v>0</v>
      </c>
      <c r="I433" s="1" t="s">
        <v>2</v>
      </c>
      <c r="J433" s="1" t="s">
        <v>56</v>
      </c>
      <c r="K433" s="2"/>
      <c r="L433" s="1">
        <v>47567062</v>
      </c>
      <c r="M433" t="s">
        <v>1292</v>
      </c>
      <c r="N433">
        <v>41756150</v>
      </c>
      <c r="O433" t="s">
        <v>1323</v>
      </c>
    </row>
    <row r="434" spans="1:15" hidden="1" x14ac:dyDescent="0.35">
      <c r="A434" s="1" t="s">
        <v>515</v>
      </c>
      <c r="B434" s="1" t="s">
        <v>4</v>
      </c>
      <c r="C434" s="1" t="s">
        <v>514</v>
      </c>
      <c r="D434" s="2">
        <v>44840</v>
      </c>
      <c r="E434" s="3">
        <v>4170000</v>
      </c>
      <c r="F434" s="3">
        <v>-2974981</v>
      </c>
      <c r="G434" s="3">
        <v>1195019</v>
      </c>
      <c r="H434" s="1" t="s">
        <v>0</v>
      </c>
      <c r="I434" s="1" t="s">
        <v>2</v>
      </c>
      <c r="J434" s="1" t="s">
        <v>56</v>
      </c>
      <c r="K434" s="2"/>
      <c r="L434" s="1">
        <v>47567062</v>
      </c>
      <c r="M434" t="s">
        <v>1292</v>
      </c>
      <c r="N434">
        <v>41756150</v>
      </c>
      <c r="O434" t="s">
        <v>1323</v>
      </c>
    </row>
    <row r="435" spans="1:15" x14ac:dyDescent="0.35">
      <c r="A435" s="1" t="s">
        <v>513</v>
      </c>
      <c r="B435" s="1" t="s">
        <v>4</v>
      </c>
      <c r="C435" s="1" t="s">
        <v>512</v>
      </c>
      <c r="D435" s="2">
        <v>44839</v>
      </c>
      <c r="E435" s="3">
        <v>32219667</v>
      </c>
      <c r="F435" s="3">
        <v>-11501981</v>
      </c>
      <c r="G435" s="3">
        <v>20717686</v>
      </c>
      <c r="H435" s="1" t="s">
        <v>0</v>
      </c>
      <c r="I435" s="1" t="s">
        <v>2</v>
      </c>
      <c r="J435" s="1" t="s">
        <v>76</v>
      </c>
      <c r="K435" s="2"/>
      <c r="L435" s="20">
        <v>47544013</v>
      </c>
      <c r="M435" t="s">
        <v>1284</v>
      </c>
      <c r="N435" s="12">
        <v>41754150</v>
      </c>
      <c r="O435" t="s">
        <v>1317</v>
      </c>
    </row>
    <row r="436" spans="1:15" x14ac:dyDescent="0.35">
      <c r="A436" s="1" t="s">
        <v>511</v>
      </c>
      <c r="B436" s="1" t="s">
        <v>4</v>
      </c>
      <c r="C436" s="1" t="s">
        <v>510</v>
      </c>
      <c r="D436" s="2">
        <v>44882</v>
      </c>
      <c r="E436" s="3">
        <v>4500000</v>
      </c>
      <c r="F436" s="3">
        <v>-1553424</v>
      </c>
      <c r="G436" s="3">
        <v>2946576</v>
      </c>
      <c r="H436" s="1" t="s">
        <v>0</v>
      </c>
      <c r="I436" s="1" t="s">
        <v>2</v>
      </c>
      <c r="J436" s="1" t="s">
        <v>24</v>
      </c>
      <c r="K436" s="2"/>
      <c r="L436" s="14">
        <v>47544021</v>
      </c>
      <c r="M436" t="s">
        <v>1282</v>
      </c>
      <c r="N436" s="12">
        <v>41754150</v>
      </c>
      <c r="O436" t="s">
        <v>1352</v>
      </c>
    </row>
    <row r="437" spans="1:15" hidden="1" x14ac:dyDescent="0.35">
      <c r="A437" s="1" t="s">
        <v>509</v>
      </c>
      <c r="B437" s="1" t="s">
        <v>4</v>
      </c>
      <c r="C437" s="1" t="s">
        <v>508</v>
      </c>
      <c r="D437" s="2">
        <v>44865</v>
      </c>
      <c r="E437" s="3">
        <v>5932819</v>
      </c>
      <c r="F437" s="3">
        <v>-4151348</v>
      </c>
      <c r="G437" s="3">
        <v>1781471</v>
      </c>
      <c r="H437" s="1" t="s">
        <v>0</v>
      </c>
      <c r="I437" s="1" t="s">
        <v>2</v>
      </c>
      <c r="J437" s="1" t="s">
        <v>56</v>
      </c>
      <c r="K437" s="2"/>
      <c r="L437" s="1">
        <v>47567064</v>
      </c>
      <c r="M437" t="s">
        <v>1271</v>
      </c>
      <c r="N437" s="22">
        <v>41756150</v>
      </c>
      <c r="O437" t="s">
        <v>1321</v>
      </c>
    </row>
    <row r="438" spans="1:15" x14ac:dyDescent="0.35">
      <c r="A438" s="1" t="s">
        <v>507</v>
      </c>
      <c r="B438" s="1" t="s">
        <v>4</v>
      </c>
      <c r="C438" s="1" t="s">
        <v>506</v>
      </c>
      <c r="D438" s="2">
        <v>44874</v>
      </c>
      <c r="E438" s="3">
        <v>13530000</v>
      </c>
      <c r="F438" s="3">
        <v>-4700285</v>
      </c>
      <c r="G438" s="3">
        <v>8829715</v>
      </c>
      <c r="H438" s="1" t="s">
        <v>0</v>
      </c>
      <c r="I438" s="1" t="s">
        <v>2</v>
      </c>
      <c r="J438" s="1" t="s">
        <v>24</v>
      </c>
      <c r="K438" s="2"/>
      <c r="L438" s="14">
        <v>47544013</v>
      </c>
      <c r="M438" t="s">
        <v>1284</v>
      </c>
      <c r="N438" s="12">
        <v>41754150</v>
      </c>
      <c r="O438" t="s">
        <v>1357</v>
      </c>
    </row>
    <row r="439" spans="1:15" x14ac:dyDescent="0.35">
      <c r="A439" s="1" t="s">
        <v>505</v>
      </c>
      <c r="B439" s="1" t="s">
        <v>4</v>
      </c>
      <c r="C439" s="1" t="s">
        <v>504</v>
      </c>
      <c r="D439" s="2">
        <v>45043</v>
      </c>
      <c r="E439" s="3">
        <v>12700000</v>
      </c>
      <c r="F439" s="3">
        <v>-3823918</v>
      </c>
      <c r="G439" s="3">
        <v>8876082</v>
      </c>
      <c r="H439" s="1" t="s">
        <v>0</v>
      </c>
      <c r="I439" s="1" t="s">
        <v>2</v>
      </c>
      <c r="J439" s="1" t="s">
        <v>165</v>
      </c>
      <c r="K439" s="2"/>
      <c r="L439" s="14">
        <v>47544017</v>
      </c>
      <c r="M439" t="s">
        <v>1283</v>
      </c>
      <c r="N439" s="12">
        <v>41754150</v>
      </c>
      <c r="O439" t="s">
        <v>1315</v>
      </c>
    </row>
    <row r="440" spans="1:15" x14ac:dyDescent="0.35">
      <c r="A440" s="1" t="s">
        <v>503</v>
      </c>
      <c r="B440" s="1" t="s">
        <v>4</v>
      </c>
      <c r="C440" s="1" t="s">
        <v>502</v>
      </c>
      <c r="D440" s="2">
        <v>45043</v>
      </c>
      <c r="E440" s="3">
        <v>11800000</v>
      </c>
      <c r="F440" s="3">
        <v>-3552931</v>
      </c>
      <c r="G440" s="3">
        <v>8247069</v>
      </c>
      <c r="H440" s="1" t="s">
        <v>0</v>
      </c>
      <c r="I440" s="1" t="s">
        <v>2</v>
      </c>
      <c r="J440" s="1" t="s">
        <v>165</v>
      </c>
      <c r="K440" s="2"/>
      <c r="L440" s="14">
        <v>47544018</v>
      </c>
      <c r="M440" t="s">
        <v>1281</v>
      </c>
      <c r="N440" s="12">
        <v>41754150</v>
      </c>
      <c r="O440" t="s">
        <v>1347</v>
      </c>
    </row>
    <row r="441" spans="1:15" x14ac:dyDescent="0.35">
      <c r="A441" s="1" t="s">
        <v>501</v>
      </c>
      <c r="B441" s="1" t="s">
        <v>4</v>
      </c>
      <c r="C441" s="1" t="s">
        <v>500</v>
      </c>
      <c r="D441" s="2">
        <v>45043</v>
      </c>
      <c r="E441" s="3">
        <v>10500000</v>
      </c>
      <c r="F441" s="3">
        <v>-3161506</v>
      </c>
      <c r="G441" s="3">
        <v>7338494</v>
      </c>
      <c r="H441" s="1" t="s">
        <v>0</v>
      </c>
      <c r="I441" s="1" t="s">
        <v>2</v>
      </c>
      <c r="J441" s="1" t="s">
        <v>165</v>
      </c>
      <c r="K441" s="2"/>
      <c r="L441" s="14">
        <v>47544017</v>
      </c>
      <c r="M441" t="s">
        <v>1283</v>
      </c>
      <c r="N441" s="12">
        <v>41754150</v>
      </c>
      <c r="O441" t="s">
        <v>1315</v>
      </c>
    </row>
    <row r="442" spans="1:15" hidden="1" x14ac:dyDescent="0.35">
      <c r="A442" s="1" t="s">
        <v>499</v>
      </c>
      <c r="B442" s="1" t="s">
        <v>4</v>
      </c>
      <c r="C442" s="1" t="s">
        <v>498</v>
      </c>
      <c r="D442" s="2">
        <v>44888</v>
      </c>
      <c r="E442" s="3">
        <v>3810169</v>
      </c>
      <c r="F442" s="3">
        <v>-2618057</v>
      </c>
      <c r="G442" s="3">
        <v>1192112</v>
      </c>
      <c r="H442" s="1" t="s">
        <v>0</v>
      </c>
      <c r="I442" s="1" t="s">
        <v>2</v>
      </c>
      <c r="J442" s="1" t="s">
        <v>56</v>
      </c>
      <c r="K442" s="2"/>
      <c r="L442" s="1">
        <v>47511021</v>
      </c>
      <c r="M442" t="s">
        <v>1300</v>
      </c>
      <c r="N442">
        <v>41751150</v>
      </c>
      <c r="O442" t="s">
        <v>1324</v>
      </c>
    </row>
    <row r="443" spans="1:15" hidden="1" x14ac:dyDescent="0.35">
      <c r="A443" s="1" t="s">
        <v>497</v>
      </c>
      <c r="B443" s="1" t="s">
        <v>4</v>
      </c>
      <c r="C443" s="1" t="s">
        <v>494</v>
      </c>
      <c r="D443" s="2">
        <v>44888</v>
      </c>
      <c r="E443" s="3">
        <v>3810169</v>
      </c>
      <c r="F443" s="3">
        <v>-2618057</v>
      </c>
      <c r="G443" s="3">
        <v>1192112</v>
      </c>
      <c r="H443" s="1" t="s">
        <v>0</v>
      </c>
      <c r="I443" s="1" t="s">
        <v>2</v>
      </c>
      <c r="J443" s="1" t="s">
        <v>56</v>
      </c>
      <c r="K443" s="2"/>
      <c r="L443" s="1">
        <v>47567101</v>
      </c>
      <c r="M443" t="s">
        <v>1270</v>
      </c>
      <c r="N443">
        <v>41756150</v>
      </c>
      <c r="O443" t="s">
        <v>1318</v>
      </c>
    </row>
    <row r="444" spans="1:15" hidden="1" x14ac:dyDescent="0.35">
      <c r="A444" s="1" t="s">
        <v>496</v>
      </c>
      <c r="B444" s="1" t="s">
        <v>4</v>
      </c>
      <c r="C444" s="1" t="s">
        <v>494</v>
      </c>
      <c r="D444" s="2">
        <v>44888</v>
      </c>
      <c r="E444" s="3">
        <v>3810169</v>
      </c>
      <c r="F444" s="3">
        <v>-2618057</v>
      </c>
      <c r="G444" s="3">
        <v>1192112</v>
      </c>
      <c r="H444" s="1" t="s">
        <v>0</v>
      </c>
      <c r="I444" s="1" t="s">
        <v>2</v>
      </c>
      <c r="J444" s="1" t="s">
        <v>56</v>
      </c>
      <c r="K444" s="2"/>
      <c r="L444" s="1">
        <v>47567041</v>
      </c>
      <c r="M444" t="s">
        <v>1291</v>
      </c>
      <c r="N444">
        <v>41756150</v>
      </c>
      <c r="O444" t="s">
        <v>1319</v>
      </c>
    </row>
    <row r="445" spans="1:15" hidden="1" x14ac:dyDescent="0.35">
      <c r="A445" s="1" t="s">
        <v>495</v>
      </c>
      <c r="B445" s="1" t="s">
        <v>4</v>
      </c>
      <c r="C445" s="1" t="s">
        <v>494</v>
      </c>
      <c r="D445" s="2">
        <v>44888</v>
      </c>
      <c r="E445" s="3">
        <v>3810169</v>
      </c>
      <c r="F445" s="3">
        <v>-2618057</v>
      </c>
      <c r="G445" s="3">
        <v>1192112</v>
      </c>
      <c r="H445" s="1" t="s">
        <v>0</v>
      </c>
      <c r="I445" s="1" t="s">
        <v>2</v>
      </c>
      <c r="J445" s="1" t="s">
        <v>56</v>
      </c>
      <c r="K445" s="2"/>
      <c r="L445" s="1">
        <v>47567081</v>
      </c>
      <c r="M445" t="s">
        <v>1274</v>
      </c>
      <c r="N445">
        <v>41756150</v>
      </c>
      <c r="O445" t="s">
        <v>1316</v>
      </c>
    </row>
    <row r="446" spans="1:15" x14ac:dyDescent="0.35">
      <c r="A446" s="1" t="s">
        <v>493</v>
      </c>
      <c r="B446" s="1" t="s">
        <v>4</v>
      </c>
      <c r="C446" s="1" t="s">
        <v>492</v>
      </c>
      <c r="D446" s="2">
        <v>44950</v>
      </c>
      <c r="E446" s="17">
        <v>4059566</v>
      </c>
      <c r="F446" s="17">
        <v>-1325755</v>
      </c>
      <c r="G446" s="17">
        <v>2733811</v>
      </c>
      <c r="H446" s="1" t="s">
        <v>0</v>
      </c>
      <c r="I446" s="1" t="s">
        <v>2</v>
      </c>
      <c r="J446" s="16" t="s">
        <v>76</v>
      </c>
      <c r="K446" s="2"/>
      <c r="L446" s="14">
        <v>47544024</v>
      </c>
      <c r="M446" t="s">
        <v>1275</v>
      </c>
      <c r="N446" s="12">
        <v>41754150</v>
      </c>
      <c r="O446" t="s">
        <v>1346</v>
      </c>
    </row>
    <row r="447" spans="1:15" hidden="1" x14ac:dyDescent="0.35">
      <c r="A447" s="1" t="s">
        <v>491</v>
      </c>
      <c r="B447" s="1" t="s">
        <v>4</v>
      </c>
      <c r="C447" s="1" t="s">
        <v>488</v>
      </c>
      <c r="D447" s="2">
        <v>44909</v>
      </c>
      <c r="E447" s="3">
        <v>3772544</v>
      </c>
      <c r="F447" s="3">
        <v>-2548794</v>
      </c>
      <c r="G447" s="3">
        <v>1223750</v>
      </c>
      <c r="H447" s="1" t="s">
        <v>0</v>
      </c>
      <c r="I447" s="1" t="s">
        <v>2</v>
      </c>
      <c r="J447" s="1" t="s">
        <v>56</v>
      </c>
      <c r="K447" s="2"/>
      <c r="L447" s="1">
        <v>47511022</v>
      </c>
      <c r="M447" t="s">
        <v>1301</v>
      </c>
      <c r="N447">
        <v>41751150</v>
      </c>
      <c r="O447" t="s">
        <v>1324</v>
      </c>
    </row>
    <row r="448" spans="1:15" hidden="1" x14ac:dyDescent="0.35">
      <c r="A448" s="1" t="s">
        <v>490</v>
      </c>
      <c r="B448" s="1" t="s">
        <v>4</v>
      </c>
      <c r="C448" s="1" t="s">
        <v>488</v>
      </c>
      <c r="D448" s="2">
        <v>44909</v>
      </c>
      <c r="E448" s="3">
        <v>3772545</v>
      </c>
      <c r="F448" s="3">
        <v>-2548794</v>
      </c>
      <c r="G448" s="3">
        <v>1223751</v>
      </c>
      <c r="H448" s="1" t="s">
        <v>0</v>
      </c>
      <c r="I448" s="1" t="s">
        <v>2</v>
      </c>
      <c r="J448" s="1" t="s">
        <v>56</v>
      </c>
      <c r="K448" s="2"/>
      <c r="L448" s="1">
        <v>47511021</v>
      </c>
      <c r="M448" t="s">
        <v>1300</v>
      </c>
      <c r="N448">
        <v>41751150</v>
      </c>
      <c r="O448" t="s">
        <v>1324</v>
      </c>
    </row>
    <row r="449" spans="1:15" hidden="1" x14ac:dyDescent="0.35">
      <c r="A449" s="1" t="s">
        <v>489</v>
      </c>
      <c r="B449" s="1" t="s">
        <v>4</v>
      </c>
      <c r="C449" s="1" t="s">
        <v>488</v>
      </c>
      <c r="D449" s="2">
        <v>44909</v>
      </c>
      <c r="E449" s="3">
        <v>3772544</v>
      </c>
      <c r="F449" s="3">
        <v>-2548794</v>
      </c>
      <c r="G449" s="3">
        <v>1223750</v>
      </c>
      <c r="H449" s="1" t="s">
        <v>0</v>
      </c>
      <c r="I449" s="1" t="s">
        <v>2</v>
      </c>
      <c r="J449" s="1" t="s">
        <v>56</v>
      </c>
      <c r="K449" s="2"/>
      <c r="L449" s="1">
        <v>47544010</v>
      </c>
      <c r="M449" t="s">
        <v>1296</v>
      </c>
      <c r="N449">
        <v>41754150</v>
      </c>
      <c r="O449" t="s">
        <v>1314</v>
      </c>
    </row>
    <row r="450" spans="1:15" hidden="1" x14ac:dyDescent="0.35">
      <c r="A450" s="1" t="s">
        <v>487</v>
      </c>
      <c r="B450" s="1" t="s">
        <v>4</v>
      </c>
      <c r="C450" s="1" t="s">
        <v>486</v>
      </c>
      <c r="D450" s="2">
        <v>44907</v>
      </c>
      <c r="E450" s="3">
        <v>1</v>
      </c>
      <c r="F450" s="3">
        <v>0</v>
      </c>
      <c r="G450" s="3">
        <v>1</v>
      </c>
      <c r="H450" s="1" t="s">
        <v>0</v>
      </c>
      <c r="I450" s="1" t="s">
        <v>2</v>
      </c>
      <c r="J450" s="1" t="s">
        <v>56</v>
      </c>
      <c r="K450" s="2"/>
      <c r="L450" s="1">
        <v>47502031</v>
      </c>
      <c r="M450" t="s">
        <v>1279</v>
      </c>
      <c r="N450">
        <v>41750150</v>
      </c>
      <c r="O450" t="s">
        <v>1314</v>
      </c>
    </row>
    <row r="451" spans="1:15" hidden="1" x14ac:dyDescent="0.35">
      <c r="A451" s="1" t="s">
        <v>485</v>
      </c>
      <c r="B451" s="1" t="s">
        <v>4</v>
      </c>
      <c r="C451" s="1" t="s">
        <v>484</v>
      </c>
      <c r="D451" s="2">
        <v>44907</v>
      </c>
      <c r="E451" s="3">
        <v>1</v>
      </c>
      <c r="F451" s="3">
        <v>0</v>
      </c>
      <c r="G451" s="3">
        <v>1</v>
      </c>
      <c r="H451" s="1" t="s">
        <v>0</v>
      </c>
      <c r="I451" s="1" t="s">
        <v>2</v>
      </c>
      <c r="J451" s="1" t="s">
        <v>56</v>
      </c>
      <c r="K451" s="2"/>
      <c r="L451" s="1">
        <v>47567064</v>
      </c>
      <c r="M451" t="s">
        <v>1271</v>
      </c>
      <c r="N451" s="22">
        <v>41756150</v>
      </c>
      <c r="O451" t="s">
        <v>1321</v>
      </c>
    </row>
    <row r="452" spans="1:15" hidden="1" x14ac:dyDescent="0.35">
      <c r="A452" s="1" t="s">
        <v>483</v>
      </c>
      <c r="B452" s="1" t="s">
        <v>4</v>
      </c>
      <c r="C452" s="1" t="s">
        <v>481</v>
      </c>
      <c r="D452" s="2">
        <v>44907</v>
      </c>
      <c r="E452" s="3">
        <v>1</v>
      </c>
      <c r="F452" s="3">
        <v>0</v>
      </c>
      <c r="G452" s="3">
        <v>1</v>
      </c>
      <c r="H452" s="1" t="s">
        <v>0</v>
      </c>
      <c r="I452" s="1" t="s">
        <v>2</v>
      </c>
      <c r="J452" s="1" t="s">
        <v>56</v>
      </c>
      <c r="K452" s="2"/>
      <c r="L452" s="1">
        <v>47567063</v>
      </c>
      <c r="M452" t="s">
        <v>1293</v>
      </c>
      <c r="N452">
        <v>41756150</v>
      </c>
      <c r="O452" t="s">
        <v>1323</v>
      </c>
    </row>
    <row r="453" spans="1:15" hidden="1" x14ac:dyDescent="0.35">
      <c r="A453" s="1" t="s">
        <v>482</v>
      </c>
      <c r="B453" s="1" t="s">
        <v>4</v>
      </c>
      <c r="C453" s="1" t="s">
        <v>481</v>
      </c>
      <c r="D453" s="2">
        <v>44907</v>
      </c>
      <c r="E453" s="3">
        <v>1</v>
      </c>
      <c r="F453" s="3">
        <v>0</v>
      </c>
      <c r="G453" s="3">
        <v>1</v>
      </c>
      <c r="H453" s="1" t="s">
        <v>0</v>
      </c>
      <c r="I453" s="1" t="s">
        <v>2</v>
      </c>
      <c r="J453" s="1" t="s">
        <v>56</v>
      </c>
      <c r="K453" s="2"/>
      <c r="L453" s="1">
        <v>47567063</v>
      </c>
      <c r="M453" t="s">
        <v>1293</v>
      </c>
      <c r="N453">
        <v>41756150</v>
      </c>
      <c r="O453" t="s">
        <v>1323</v>
      </c>
    </row>
    <row r="454" spans="1:15" hidden="1" x14ac:dyDescent="0.35">
      <c r="A454" s="1" t="s">
        <v>480</v>
      </c>
      <c r="B454" s="1" t="s">
        <v>4</v>
      </c>
      <c r="C454" s="1" t="s">
        <v>477</v>
      </c>
      <c r="D454" s="2">
        <v>44907</v>
      </c>
      <c r="E454" s="3">
        <v>1</v>
      </c>
      <c r="F454" s="3">
        <v>0</v>
      </c>
      <c r="G454" s="3">
        <v>1</v>
      </c>
      <c r="H454" s="1" t="s">
        <v>0</v>
      </c>
      <c r="I454" s="1" t="s">
        <v>2</v>
      </c>
      <c r="J454" s="1" t="s">
        <v>56</v>
      </c>
      <c r="K454" s="2"/>
      <c r="L454" s="1">
        <v>47567061</v>
      </c>
      <c r="M454" t="s">
        <v>1307</v>
      </c>
      <c r="N454">
        <v>41756150</v>
      </c>
      <c r="O454" t="s">
        <v>1323</v>
      </c>
    </row>
    <row r="455" spans="1:15" hidden="1" x14ac:dyDescent="0.35">
      <c r="A455" s="1" t="s">
        <v>479</v>
      </c>
      <c r="B455" s="1" t="s">
        <v>4</v>
      </c>
      <c r="C455" s="1" t="s">
        <v>475</v>
      </c>
      <c r="D455" s="2">
        <v>44908</v>
      </c>
      <c r="E455" s="3">
        <v>1</v>
      </c>
      <c r="F455" s="3">
        <v>0</v>
      </c>
      <c r="G455" s="3">
        <v>1</v>
      </c>
      <c r="H455" s="1" t="s">
        <v>0</v>
      </c>
      <c r="I455" s="1" t="s">
        <v>2</v>
      </c>
      <c r="J455" s="1" t="s">
        <v>56</v>
      </c>
      <c r="K455" s="2"/>
      <c r="L455" s="1">
        <v>47567021</v>
      </c>
      <c r="M455" t="s">
        <v>1285</v>
      </c>
      <c r="N455" s="22">
        <v>41756150</v>
      </c>
      <c r="O455" t="s">
        <v>1322</v>
      </c>
    </row>
    <row r="456" spans="1:15" hidden="1" x14ac:dyDescent="0.35">
      <c r="A456" s="1" t="s">
        <v>478</v>
      </c>
      <c r="B456" s="1" t="s">
        <v>4</v>
      </c>
      <c r="C456" s="1" t="s">
        <v>477</v>
      </c>
      <c r="D456" s="2">
        <v>44908</v>
      </c>
      <c r="E456" s="3">
        <v>1</v>
      </c>
      <c r="F456" s="3">
        <v>0</v>
      </c>
      <c r="G456" s="3">
        <v>1</v>
      </c>
      <c r="H456" s="1" t="s">
        <v>0</v>
      </c>
      <c r="I456" s="1" t="s">
        <v>2</v>
      </c>
      <c r="J456" s="1" t="s">
        <v>56</v>
      </c>
      <c r="K456" s="2"/>
      <c r="L456" s="1">
        <v>47567061</v>
      </c>
      <c r="M456" t="s">
        <v>1307</v>
      </c>
      <c r="N456">
        <v>41756150</v>
      </c>
      <c r="O456" t="s">
        <v>1323</v>
      </c>
    </row>
    <row r="457" spans="1:15" hidden="1" x14ac:dyDescent="0.35">
      <c r="A457" s="1" t="s">
        <v>476</v>
      </c>
      <c r="B457" s="1" t="s">
        <v>4</v>
      </c>
      <c r="C457" s="1" t="s">
        <v>475</v>
      </c>
      <c r="D457" s="2">
        <v>44908</v>
      </c>
      <c r="E457" s="3">
        <v>1</v>
      </c>
      <c r="F457" s="3">
        <v>0</v>
      </c>
      <c r="G457" s="3">
        <v>1</v>
      </c>
      <c r="H457" s="1" t="s">
        <v>0</v>
      </c>
      <c r="I457" s="1" t="s">
        <v>2</v>
      </c>
      <c r="J457" s="1" t="s">
        <v>56</v>
      </c>
      <c r="K457" s="2"/>
      <c r="L457" s="1">
        <v>47567041</v>
      </c>
      <c r="M457" t="s">
        <v>1291</v>
      </c>
      <c r="N457">
        <v>41756150</v>
      </c>
      <c r="O457" t="s">
        <v>1319</v>
      </c>
    </row>
    <row r="458" spans="1:15" x14ac:dyDescent="0.35">
      <c r="A458" s="1" t="s">
        <v>474</v>
      </c>
      <c r="B458" s="1" t="s">
        <v>4</v>
      </c>
      <c r="C458" s="1" t="s">
        <v>473</v>
      </c>
      <c r="D458" s="2">
        <v>44908</v>
      </c>
      <c r="E458" s="3">
        <v>1</v>
      </c>
      <c r="F458" s="3">
        <v>0</v>
      </c>
      <c r="G458" s="3">
        <v>1</v>
      </c>
      <c r="H458" s="1" t="s">
        <v>0</v>
      </c>
      <c r="I458" s="1" t="s">
        <v>2</v>
      </c>
      <c r="J458" s="1" t="s">
        <v>202</v>
      </c>
      <c r="K458" s="2"/>
      <c r="L458" s="14">
        <v>47567064</v>
      </c>
      <c r="M458" t="s">
        <v>1271</v>
      </c>
      <c r="N458" s="12">
        <v>41756150</v>
      </c>
      <c r="O458" t="s">
        <v>1321</v>
      </c>
    </row>
    <row r="459" spans="1:15" hidden="1" x14ac:dyDescent="0.35">
      <c r="A459" s="1" t="s">
        <v>472</v>
      </c>
      <c r="B459" s="1" t="s">
        <v>4</v>
      </c>
      <c r="C459" s="1" t="s">
        <v>471</v>
      </c>
      <c r="D459" s="2">
        <v>44908</v>
      </c>
      <c r="E459" s="3">
        <v>1</v>
      </c>
      <c r="F459" s="3">
        <v>0</v>
      </c>
      <c r="G459" s="3">
        <v>1</v>
      </c>
      <c r="H459" s="1" t="s">
        <v>0</v>
      </c>
      <c r="I459" s="1" t="s">
        <v>2</v>
      </c>
      <c r="J459" s="1" t="s">
        <v>202</v>
      </c>
      <c r="K459" s="2"/>
      <c r="L459" s="1">
        <v>47567101</v>
      </c>
      <c r="M459" t="s">
        <v>1270</v>
      </c>
      <c r="N459">
        <v>41756150</v>
      </c>
      <c r="O459" t="s">
        <v>1318</v>
      </c>
    </row>
    <row r="460" spans="1:15" x14ac:dyDescent="0.35">
      <c r="A460" s="1" t="s">
        <v>470</v>
      </c>
      <c r="B460" s="1" t="s">
        <v>4</v>
      </c>
      <c r="C460" s="1" t="s">
        <v>469</v>
      </c>
      <c r="D460" s="2">
        <v>45141</v>
      </c>
      <c r="E460" s="3">
        <v>15560298</v>
      </c>
      <c r="F460" s="3">
        <v>-4267358</v>
      </c>
      <c r="G460" s="3">
        <v>11292940</v>
      </c>
      <c r="H460" s="1" t="s">
        <v>0</v>
      </c>
      <c r="I460" s="1" t="s">
        <v>2</v>
      </c>
      <c r="J460" s="1" t="s">
        <v>76</v>
      </c>
      <c r="K460" s="2"/>
      <c r="L460" s="20">
        <v>47544013</v>
      </c>
      <c r="M460" t="s">
        <v>1284</v>
      </c>
      <c r="N460" s="12">
        <v>41754150</v>
      </c>
      <c r="O460" t="s">
        <v>1317</v>
      </c>
    </row>
    <row r="461" spans="1:15" hidden="1" x14ac:dyDescent="0.35">
      <c r="A461" s="1" t="s">
        <v>468</v>
      </c>
      <c r="B461" s="1" t="s">
        <v>4</v>
      </c>
      <c r="C461" s="1" t="s">
        <v>467</v>
      </c>
      <c r="D461" s="2">
        <v>44908</v>
      </c>
      <c r="E461" s="3">
        <v>1</v>
      </c>
      <c r="F461" s="3">
        <v>0</v>
      </c>
      <c r="G461" s="3">
        <v>1</v>
      </c>
      <c r="H461" s="1" t="s">
        <v>0</v>
      </c>
      <c r="I461" s="1" t="s">
        <v>2</v>
      </c>
      <c r="J461" s="1" t="s">
        <v>355</v>
      </c>
      <c r="K461" s="2"/>
      <c r="L461" s="1">
        <v>47567101</v>
      </c>
      <c r="M461" t="s">
        <v>1270</v>
      </c>
      <c r="N461">
        <v>41756150</v>
      </c>
      <c r="O461" t="s">
        <v>1318</v>
      </c>
    </row>
    <row r="462" spans="1:15" hidden="1" x14ac:dyDescent="0.35">
      <c r="A462" s="1" t="s">
        <v>466</v>
      </c>
      <c r="B462" s="1" t="s">
        <v>4</v>
      </c>
      <c r="C462" s="1" t="s">
        <v>465</v>
      </c>
      <c r="D462" s="2">
        <v>44908</v>
      </c>
      <c r="E462" s="3">
        <v>1</v>
      </c>
      <c r="F462" s="3">
        <v>0</v>
      </c>
      <c r="G462" s="3">
        <v>1</v>
      </c>
      <c r="H462" s="1" t="s">
        <v>0</v>
      </c>
      <c r="I462" s="1" t="s">
        <v>2</v>
      </c>
      <c r="J462" s="1" t="s">
        <v>76</v>
      </c>
      <c r="K462" s="2"/>
      <c r="L462" s="1">
        <v>47567101</v>
      </c>
      <c r="M462" t="s">
        <v>1270</v>
      </c>
      <c r="N462">
        <v>41756150</v>
      </c>
      <c r="O462" t="s">
        <v>1318</v>
      </c>
    </row>
    <row r="463" spans="1:15" x14ac:dyDescent="0.35">
      <c r="A463" s="21">
        <v>102826</v>
      </c>
      <c r="B463" s="1" t="s">
        <v>23</v>
      </c>
      <c r="C463" s="1" t="s">
        <v>462</v>
      </c>
      <c r="D463" s="2">
        <v>45706</v>
      </c>
      <c r="E463" s="3">
        <v>35050000</v>
      </c>
      <c r="F463" s="3">
        <v>-8392795</v>
      </c>
      <c r="G463" s="3">
        <v>26657205</v>
      </c>
      <c r="H463" s="1" t="s">
        <v>0</v>
      </c>
      <c r="I463" s="1" t="s">
        <v>2</v>
      </c>
      <c r="J463" s="1" t="s">
        <v>76</v>
      </c>
      <c r="K463" s="2"/>
      <c r="L463" s="14">
        <v>47544013</v>
      </c>
      <c r="M463" t="s">
        <v>1284</v>
      </c>
      <c r="N463" s="12">
        <v>41754150</v>
      </c>
      <c r="O463" t="s">
        <v>1357</v>
      </c>
    </row>
    <row r="464" spans="1:15" x14ac:dyDescent="0.35">
      <c r="A464" s="1" t="s">
        <v>463</v>
      </c>
      <c r="B464" s="1" t="s">
        <v>4</v>
      </c>
      <c r="C464" s="1" t="s">
        <v>464</v>
      </c>
      <c r="D464" s="2">
        <v>44908</v>
      </c>
      <c r="E464" s="3">
        <v>1</v>
      </c>
      <c r="F464" s="3">
        <v>0</v>
      </c>
      <c r="G464" s="3">
        <v>1</v>
      </c>
      <c r="H464" s="1" t="s">
        <v>0</v>
      </c>
      <c r="I464" s="1" t="s">
        <v>2</v>
      </c>
      <c r="J464" s="1" t="s">
        <v>76</v>
      </c>
      <c r="K464" s="2"/>
      <c r="L464" s="14">
        <v>47567101</v>
      </c>
      <c r="M464" t="s">
        <v>1270</v>
      </c>
      <c r="N464" s="12">
        <v>41756150</v>
      </c>
      <c r="O464" t="s">
        <v>1357</v>
      </c>
    </row>
    <row r="465" spans="1:15" x14ac:dyDescent="0.35">
      <c r="A465" s="1" t="s">
        <v>461</v>
      </c>
      <c r="B465" s="1" t="s">
        <v>4</v>
      </c>
      <c r="C465" s="1" t="s">
        <v>460</v>
      </c>
      <c r="D465" s="2">
        <v>44958</v>
      </c>
      <c r="E465" s="3">
        <v>9100000</v>
      </c>
      <c r="F465" s="3">
        <v>-2951890</v>
      </c>
      <c r="G465" s="3">
        <v>6148110</v>
      </c>
      <c r="H465" s="1" t="s">
        <v>0</v>
      </c>
      <c r="I465" s="1" t="s">
        <v>2</v>
      </c>
      <c r="J465" s="1" t="s">
        <v>76</v>
      </c>
      <c r="K465" s="2"/>
      <c r="L465" s="14">
        <v>47544021</v>
      </c>
      <c r="M465" t="s">
        <v>1282</v>
      </c>
      <c r="N465" s="12">
        <v>41754150</v>
      </c>
      <c r="O465" t="s">
        <v>1352</v>
      </c>
    </row>
    <row r="466" spans="1:15" x14ac:dyDescent="0.35">
      <c r="A466" s="1" t="s">
        <v>459</v>
      </c>
      <c r="B466" s="1" t="s">
        <v>4</v>
      </c>
      <c r="C466" s="1" t="s">
        <v>458</v>
      </c>
      <c r="D466" s="2">
        <v>44958</v>
      </c>
      <c r="E466" s="3">
        <v>2940000</v>
      </c>
      <c r="F466" s="3">
        <v>-953688</v>
      </c>
      <c r="G466" s="3">
        <v>1986312</v>
      </c>
      <c r="H466" s="1" t="s">
        <v>0</v>
      </c>
      <c r="I466" s="1" t="s">
        <v>2</v>
      </c>
      <c r="J466" s="1" t="s">
        <v>76</v>
      </c>
      <c r="K466" s="2"/>
      <c r="L466" s="14">
        <v>47544021</v>
      </c>
      <c r="M466" t="s">
        <v>1282</v>
      </c>
      <c r="N466" s="12">
        <v>41754150</v>
      </c>
      <c r="O466" t="s">
        <v>1352</v>
      </c>
    </row>
    <row r="467" spans="1:15" hidden="1" x14ac:dyDescent="0.35">
      <c r="A467" s="1" t="s">
        <v>457</v>
      </c>
      <c r="B467" s="1" t="s">
        <v>4</v>
      </c>
      <c r="C467" s="1" t="s">
        <v>455</v>
      </c>
      <c r="D467" s="2">
        <v>44981</v>
      </c>
      <c r="E467" s="3">
        <v>4820561</v>
      </c>
      <c r="F467" s="3">
        <v>-3066668</v>
      </c>
      <c r="G467" s="3">
        <v>1753893</v>
      </c>
      <c r="H467" s="1" t="s">
        <v>0</v>
      </c>
      <c r="I467" s="1" t="s">
        <v>2</v>
      </c>
      <c r="J467" s="1" t="s">
        <v>56</v>
      </c>
      <c r="K467" s="2"/>
      <c r="L467" s="1">
        <v>47567015</v>
      </c>
      <c r="M467" t="s">
        <v>1272</v>
      </c>
      <c r="N467">
        <v>41756150</v>
      </c>
      <c r="O467" t="s">
        <v>1315</v>
      </c>
    </row>
    <row r="468" spans="1:15" hidden="1" x14ac:dyDescent="0.35">
      <c r="A468" s="1" t="s">
        <v>456</v>
      </c>
      <c r="B468" s="1" t="s">
        <v>4</v>
      </c>
      <c r="C468" s="1" t="s">
        <v>455</v>
      </c>
      <c r="D468" s="2">
        <v>44981</v>
      </c>
      <c r="E468" s="3">
        <v>4820561</v>
      </c>
      <c r="F468" s="3">
        <v>-3066668</v>
      </c>
      <c r="G468" s="3">
        <v>1753893</v>
      </c>
      <c r="H468" s="1" t="s">
        <v>0</v>
      </c>
      <c r="I468" s="1" t="s">
        <v>2</v>
      </c>
      <c r="J468" s="1" t="s">
        <v>56</v>
      </c>
      <c r="K468" s="2"/>
      <c r="L468" s="1">
        <v>47567015</v>
      </c>
      <c r="M468" t="s">
        <v>1272</v>
      </c>
      <c r="N468">
        <v>41756150</v>
      </c>
      <c r="O468" t="s">
        <v>1315</v>
      </c>
    </row>
    <row r="469" spans="1:15" hidden="1" x14ac:dyDescent="0.35">
      <c r="A469" s="1" t="s">
        <v>454</v>
      </c>
      <c r="B469" s="1" t="s">
        <v>4</v>
      </c>
      <c r="C469" s="1" t="s">
        <v>451</v>
      </c>
      <c r="D469" s="2">
        <v>44980</v>
      </c>
      <c r="E469" s="3">
        <v>2612437</v>
      </c>
      <c r="F469" s="3">
        <v>-1663370</v>
      </c>
      <c r="G469" s="3">
        <v>949067</v>
      </c>
      <c r="H469" s="1" t="s">
        <v>0</v>
      </c>
      <c r="I469" s="1" t="s">
        <v>2</v>
      </c>
      <c r="J469" s="1" t="s">
        <v>56</v>
      </c>
      <c r="K469" s="2"/>
      <c r="L469" s="1">
        <v>47500021</v>
      </c>
      <c r="M469" t="s">
        <v>1294</v>
      </c>
      <c r="N469">
        <v>41750150</v>
      </c>
      <c r="O469" t="s">
        <v>1314</v>
      </c>
    </row>
    <row r="470" spans="1:15" hidden="1" x14ac:dyDescent="0.35">
      <c r="A470" s="1" t="s">
        <v>453</v>
      </c>
      <c r="B470" s="1" t="s">
        <v>4</v>
      </c>
      <c r="C470" s="1" t="s">
        <v>451</v>
      </c>
      <c r="D470" s="2">
        <v>44980</v>
      </c>
      <c r="E470" s="3">
        <v>2612437</v>
      </c>
      <c r="F470" s="3">
        <v>-1663370</v>
      </c>
      <c r="G470" s="3">
        <v>949067</v>
      </c>
      <c r="H470" s="1" t="s">
        <v>0</v>
      </c>
      <c r="I470" s="1" t="s">
        <v>2</v>
      </c>
      <c r="J470" s="1" t="s">
        <v>56</v>
      </c>
      <c r="K470" s="2"/>
      <c r="L470" s="1">
        <v>47567102</v>
      </c>
      <c r="M470" t="s">
        <v>1273</v>
      </c>
      <c r="N470">
        <v>41756150</v>
      </c>
      <c r="O470" t="s">
        <v>1320</v>
      </c>
    </row>
    <row r="471" spans="1:15" hidden="1" x14ac:dyDescent="0.35">
      <c r="A471" s="1" t="s">
        <v>452</v>
      </c>
      <c r="B471" s="1" t="s">
        <v>4</v>
      </c>
      <c r="C471" s="1" t="s">
        <v>451</v>
      </c>
      <c r="D471" s="2">
        <v>44980</v>
      </c>
      <c r="E471" s="3">
        <v>2612437</v>
      </c>
      <c r="F471" s="3">
        <v>-1663370</v>
      </c>
      <c r="G471" s="3">
        <v>949067</v>
      </c>
      <c r="H471" s="1" t="s">
        <v>0</v>
      </c>
      <c r="I471" s="1" t="s">
        <v>2</v>
      </c>
      <c r="J471" s="1" t="s">
        <v>56</v>
      </c>
      <c r="K471" s="2"/>
      <c r="L471" s="1">
        <v>47567015</v>
      </c>
      <c r="M471" t="s">
        <v>1272</v>
      </c>
      <c r="N471">
        <v>41756150</v>
      </c>
      <c r="O471" t="s">
        <v>1315</v>
      </c>
    </row>
    <row r="472" spans="1:15" x14ac:dyDescent="0.35">
      <c r="A472" s="1" t="s">
        <v>450</v>
      </c>
      <c r="B472" s="1" t="s">
        <v>4</v>
      </c>
      <c r="C472" s="1" t="s">
        <v>448</v>
      </c>
      <c r="D472" s="2">
        <v>45009</v>
      </c>
      <c r="E472" s="3">
        <v>25074500</v>
      </c>
      <c r="F472" s="3">
        <v>-7783399</v>
      </c>
      <c r="G472" s="3">
        <v>17291101</v>
      </c>
      <c r="H472" s="1" t="s">
        <v>0</v>
      </c>
      <c r="I472" s="1" t="s">
        <v>2</v>
      </c>
      <c r="J472" s="1" t="s">
        <v>76</v>
      </c>
      <c r="K472" s="2"/>
      <c r="L472" s="14">
        <v>47544013</v>
      </c>
      <c r="M472" t="s">
        <v>1284</v>
      </c>
      <c r="N472" s="12">
        <v>41754150</v>
      </c>
      <c r="O472" t="s">
        <v>1350</v>
      </c>
    </row>
    <row r="473" spans="1:15" x14ac:dyDescent="0.35">
      <c r="A473" s="1" t="s">
        <v>449</v>
      </c>
      <c r="B473" s="1" t="s">
        <v>4</v>
      </c>
      <c r="C473" s="1" t="s">
        <v>448</v>
      </c>
      <c r="D473" s="2">
        <v>45012</v>
      </c>
      <c r="E473" s="3">
        <v>25074500</v>
      </c>
      <c r="F473" s="3">
        <v>-7762790</v>
      </c>
      <c r="G473" s="3">
        <v>17311710</v>
      </c>
      <c r="H473" s="1" t="s">
        <v>0</v>
      </c>
      <c r="I473" s="1" t="s">
        <v>2</v>
      </c>
      <c r="J473" s="1" t="s">
        <v>76</v>
      </c>
      <c r="K473" s="2"/>
      <c r="L473" s="14">
        <v>47544013</v>
      </c>
      <c r="M473" t="s">
        <v>1284</v>
      </c>
      <c r="N473" s="12">
        <v>41754150</v>
      </c>
      <c r="O473" t="s">
        <v>1350</v>
      </c>
    </row>
    <row r="474" spans="1:15" x14ac:dyDescent="0.35">
      <c r="A474" s="1" t="s">
        <v>447</v>
      </c>
      <c r="B474" s="1" t="s">
        <v>4</v>
      </c>
      <c r="C474" s="1" t="s">
        <v>446</v>
      </c>
      <c r="D474" s="2">
        <v>44992</v>
      </c>
      <c r="E474" s="3">
        <v>48000000</v>
      </c>
      <c r="F474" s="3">
        <v>-15123287</v>
      </c>
      <c r="G474" s="3">
        <v>32876713</v>
      </c>
      <c r="H474" s="1" t="s">
        <v>0</v>
      </c>
      <c r="I474" s="1" t="s">
        <v>2</v>
      </c>
      <c r="J474" s="1" t="s">
        <v>76</v>
      </c>
      <c r="K474" s="2"/>
      <c r="L474" s="14">
        <v>47544013</v>
      </c>
      <c r="M474" t="s">
        <v>1284</v>
      </c>
      <c r="N474" s="12">
        <v>41754150</v>
      </c>
      <c r="O474" t="s">
        <v>1357</v>
      </c>
    </row>
    <row r="475" spans="1:15" hidden="1" x14ac:dyDescent="0.35">
      <c r="A475" s="1" t="s">
        <v>445</v>
      </c>
      <c r="B475" s="1" t="s">
        <v>4</v>
      </c>
      <c r="C475" s="1" t="s">
        <v>444</v>
      </c>
      <c r="D475" s="2">
        <v>44988</v>
      </c>
      <c r="E475" s="3">
        <v>8500000</v>
      </c>
      <c r="F475" s="3">
        <v>-2687397</v>
      </c>
      <c r="G475" s="3">
        <v>5812603</v>
      </c>
      <c r="H475" s="1" t="s">
        <v>0</v>
      </c>
      <c r="I475" s="1" t="s">
        <v>2</v>
      </c>
      <c r="J475" s="1" t="s">
        <v>76</v>
      </c>
      <c r="K475" s="2"/>
      <c r="L475" s="1">
        <v>47567102</v>
      </c>
      <c r="M475" t="s">
        <v>1273</v>
      </c>
      <c r="N475">
        <v>41756150</v>
      </c>
      <c r="O475" t="s">
        <v>1320</v>
      </c>
    </row>
    <row r="476" spans="1:15" x14ac:dyDescent="0.35">
      <c r="A476" s="1" t="s">
        <v>442</v>
      </c>
      <c r="B476" s="1" t="s">
        <v>4</v>
      </c>
      <c r="C476" s="1" t="s">
        <v>443</v>
      </c>
      <c r="D476" s="2">
        <v>44988</v>
      </c>
      <c r="E476" s="3">
        <v>15935500</v>
      </c>
      <c r="F476" s="3">
        <v>-5038238</v>
      </c>
      <c r="G476" s="3">
        <v>10897262</v>
      </c>
      <c r="H476" s="1" t="s">
        <v>0</v>
      </c>
      <c r="I476" s="1" t="s">
        <v>2</v>
      </c>
      <c r="J476" s="1" t="s">
        <v>76</v>
      </c>
      <c r="K476" s="2"/>
      <c r="L476" s="14">
        <v>47544019</v>
      </c>
      <c r="M476" t="s">
        <v>1290</v>
      </c>
      <c r="N476" s="12">
        <v>41754150</v>
      </c>
      <c r="O476" t="s">
        <v>1345</v>
      </c>
    </row>
    <row r="477" spans="1:15" x14ac:dyDescent="0.35">
      <c r="A477" s="1" t="s">
        <v>442</v>
      </c>
      <c r="B477" s="1" t="s">
        <v>23</v>
      </c>
      <c r="C477" s="1" t="s">
        <v>441</v>
      </c>
      <c r="D477" s="2">
        <v>45012</v>
      </c>
      <c r="E477" s="3">
        <v>4298280</v>
      </c>
      <c r="F477" s="3">
        <v>-1330700</v>
      </c>
      <c r="G477" s="3">
        <v>2967580</v>
      </c>
      <c r="H477" s="1" t="s">
        <v>0</v>
      </c>
      <c r="I477" s="1" t="s">
        <v>2</v>
      </c>
      <c r="J477" s="1" t="s">
        <v>76</v>
      </c>
      <c r="K477" s="2"/>
      <c r="L477" s="14">
        <v>47544019</v>
      </c>
      <c r="M477" t="s">
        <v>1290</v>
      </c>
      <c r="N477" s="12">
        <v>41754150</v>
      </c>
      <c r="O477" t="s">
        <v>1345</v>
      </c>
    </row>
    <row r="478" spans="1:15" x14ac:dyDescent="0.35">
      <c r="A478" s="1" t="s">
        <v>439</v>
      </c>
      <c r="B478" s="1" t="s">
        <v>4</v>
      </c>
      <c r="C478" s="1" t="s">
        <v>440</v>
      </c>
      <c r="D478" s="2">
        <v>44998</v>
      </c>
      <c r="E478" s="3">
        <v>7959840</v>
      </c>
      <c r="F478" s="3">
        <v>-2494810</v>
      </c>
      <c r="G478" s="3">
        <v>5465030</v>
      </c>
      <c r="H478" s="1" t="s">
        <v>0</v>
      </c>
      <c r="I478" s="1" t="s">
        <v>2</v>
      </c>
      <c r="J478" s="1" t="s">
        <v>76</v>
      </c>
      <c r="K478" s="2"/>
      <c r="L478" s="14">
        <v>47544034</v>
      </c>
      <c r="M478" t="s">
        <v>1309</v>
      </c>
      <c r="N478" s="12">
        <v>41754150</v>
      </c>
      <c r="O478" t="s">
        <v>1345</v>
      </c>
    </row>
    <row r="479" spans="1:15" x14ac:dyDescent="0.35">
      <c r="A479" s="1" t="s">
        <v>439</v>
      </c>
      <c r="B479" s="1" t="s">
        <v>23</v>
      </c>
      <c r="C479" s="1" t="s">
        <v>438</v>
      </c>
      <c r="D479" s="2">
        <v>45012</v>
      </c>
      <c r="E479" s="3">
        <v>3986500</v>
      </c>
      <c r="F479" s="3">
        <v>-1234177</v>
      </c>
      <c r="G479" s="3">
        <v>2752323</v>
      </c>
      <c r="H479" s="1" t="s">
        <v>0</v>
      </c>
      <c r="I479" s="1" t="s">
        <v>2</v>
      </c>
      <c r="J479" s="1" t="s">
        <v>76</v>
      </c>
      <c r="K479" s="2"/>
      <c r="L479" s="14">
        <v>47544034</v>
      </c>
      <c r="M479" t="s">
        <v>1309</v>
      </c>
      <c r="N479" s="12">
        <v>41754150</v>
      </c>
      <c r="O479" t="s">
        <v>1345</v>
      </c>
    </row>
    <row r="480" spans="1:15" hidden="1" x14ac:dyDescent="0.35">
      <c r="A480" s="1" t="s">
        <v>437</v>
      </c>
      <c r="B480" s="1" t="s">
        <v>4</v>
      </c>
      <c r="C480" s="1" t="s">
        <v>436</v>
      </c>
      <c r="D480" s="2">
        <v>44994</v>
      </c>
      <c r="E480" s="3">
        <v>38000000</v>
      </c>
      <c r="F480" s="3">
        <v>-11951781</v>
      </c>
      <c r="G480" s="3">
        <v>26048219</v>
      </c>
      <c r="H480" s="1" t="s">
        <v>0</v>
      </c>
      <c r="I480" s="1" t="s">
        <v>2</v>
      </c>
      <c r="J480" s="1" t="s">
        <v>76</v>
      </c>
      <c r="K480" s="2"/>
      <c r="L480" s="1">
        <v>47567101</v>
      </c>
      <c r="M480" t="s">
        <v>1270</v>
      </c>
      <c r="N480">
        <v>41756150</v>
      </c>
      <c r="O480" t="s">
        <v>1318</v>
      </c>
    </row>
    <row r="481" spans="1:15" x14ac:dyDescent="0.35">
      <c r="A481" s="1" t="s">
        <v>435</v>
      </c>
      <c r="B481" s="1" t="s">
        <v>4</v>
      </c>
      <c r="C481" s="1" t="s">
        <v>434</v>
      </c>
      <c r="D481" s="2">
        <v>45125</v>
      </c>
      <c r="E481" s="3">
        <v>37730000</v>
      </c>
      <c r="F481" s="3">
        <v>-10512715</v>
      </c>
      <c r="G481" s="3">
        <v>27217285</v>
      </c>
      <c r="H481" s="1" t="s">
        <v>0</v>
      </c>
      <c r="I481" s="1" t="s">
        <v>2</v>
      </c>
      <c r="J481" s="1" t="s">
        <v>433</v>
      </c>
      <c r="K481" s="2"/>
      <c r="L481" s="14">
        <v>47544019</v>
      </c>
      <c r="M481" t="s">
        <v>1290</v>
      </c>
      <c r="N481" s="12">
        <v>41754150</v>
      </c>
      <c r="O481" t="s">
        <v>1345</v>
      </c>
    </row>
    <row r="482" spans="1:15" hidden="1" x14ac:dyDescent="0.35">
      <c r="A482" s="1" t="s">
        <v>432</v>
      </c>
      <c r="B482" s="1" t="s">
        <v>4</v>
      </c>
      <c r="C482" s="1" t="s">
        <v>430</v>
      </c>
      <c r="D482" s="2">
        <v>45013</v>
      </c>
      <c r="E482" s="3">
        <v>5806010</v>
      </c>
      <c r="F482" s="3">
        <v>-3591773</v>
      </c>
      <c r="G482" s="3">
        <v>2214237</v>
      </c>
      <c r="H482" s="1" t="s">
        <v>0</v>
      </c>
      <c r="I482" s="1" t="s">
        <v>2</v>
      </c>
      <c r="J482" s="1" t="s">
        <v>56</v>
      </c>
      <c r="K482" s="2"/>
      <c r="L482" s="1">
        <v>47544010</v>
      </c>
      <c r="M482" t="s">
        <v>1296</v>
      </c>
      <c r="N482">
        <v>41754150</v>
      </c>
      <c r="O482" t="s">
        <v>1314</v>
      </c>
    </row>
    <row r="483" spans="1:15" hidden="1" x14ac:dyDescent="0.35">
      <c r="A483" s="1" t="s">
        <v>431</v>
      </c>
      <c r="B483" s="1" t="s">
        <v>4</v>
      </c>
      <c r="C483" s="1" t="s">
        <v>430</v>
      </c>
      <c r="D483" s="2">
        <v>45013</v>
      </c>
      <c r="E483" s="3">
        <v>5806010</v>
      </c>
      <c r="F483" s="3">
        <v>-3591773</v>
      </c>
      <c r="G483" s="3">
        <v>2214237</v>
      </c>
      <c r="H483" s="1" t="s">
        <v>0</v>
      </c>
      <c r="I483" s="1" t="s">
        <v>2</v>
      </c>
      <c r="J483" s="1" t="s">
        <v>56</v>
      </c>
      <c r="K483" s="2"/>
      <c r="L483" s="1">
        <v>47567060</v>
      </c>
      <c r="M483" t="s">
        <v>1306</v>
      </c>
      <c r="N483">
        <v>41756150</v>
      </c>
      <c r="O483" t="s">
        <v>1323</v>
      </c>
    </row>
    <row r="484" spans="1:15" x14ac:dyDescent="0.35">
      <c r="A484" s="1" t="s">
        <v>429</v>
      </c>
      <c r="B484" s="1" t="s">
        <v>4</v>
      </c>
      <c r="C484" s="13" t="s">
        <v>428</v>
      </c>
      <c r="D484" s="2">
        <v>45279</v>
      </c>
      <c r="E484" s="3">
        <v>32439717</v>
      </c>
      <c r="F484" s="3">
        <v>-7666369</v>
      </c>
      <c r="G484" s="3">
        <v>24773348</v>
      </c>
      <c r="H484" s="1" t="s">
        <v>0</v>
      </c>
      <c r="I484" s="1" t="s">
        <v>2</v>
      </c>
      <c r="J484" s="1" t="s">
        <v>24</v>
      </c>
      <c r="K484" s="2"/>
      <c r="L484" s="14">
        <v>47544021</v>
      </c>
      <c r="M484" t="s">
        <v>1282</v>
      </c>
      <c r="N484" s="12">
        <v>41754150</v>
      </c>
      <c r="O484" t="s">
        <v>1352</v>
      </c>
    </row>
    <row r="485" spans="1:15" x14ac:dyDescent="0.35">
      <c r="A485" s="1" t="s">
        <v>427</v>
      </c>
      <c r="B485" s="1" t="s">
        <v>4</v>
      </c>
      <c r="C485" s="1" t="s">
        <v>426</v>
      </c>
      <c r="D485" s="2">
        <v>45279</v>
      </c>
      <c r="E485" s="3">
        <v>36765012</v>
      </c>
      <c r="F485" s="3">
        <v>-8688550</v>
      </c>
      <c r="G485" s="3">
        <v>28076462</v>
      </c>
      <c r="H485" s="1" t="s">
        <v>0</v>
      </c>
      <c r="I485" s="1" t="s">
        <v>2</v>
      </c>
      <c r="J485" s="1" t="s">
        <v>24</v>
      </c>
      <c r="K485" s="2"/>
      <c r="L485" s="14">
        <v>47544021</v>
      </c>
      <c r="M485" t="s">
        <v>1282</v>
      </c>
      <c r="N485" s="12">
        <v>41754150</v>
      </c>
      <c r="O485" t="s">
        <v>1352</v>
      </c>
    </row>
    <row r="486" spans="1:15" x14ac:dyDescent="0.35">
      <c r="A486" s="1" t="s">
        <v>425</v>
      </c>
      <c r="B486" s="1" t="s">
        <v>4</v>
      </c>
      <c r="C486" s="1" t="s">
        <v>424</v>
      </c>
      <c r="D486" s="2">
        <v>45279</v>
      </c>
      <c r="E486" s="3">
        <v>51903506</v>
      </c>
      <c r="F486" s="3">
        <v>-12266181</v>
      </c>
      <c r="G486" s="3">
        <v>39637325</v>
      </c>
      <c r="H486" s="1" t="s">
        <v>0</v>
      </c>
      <c r="I486" s="1" t="s">
        <v>2</v>
      </c>
      <c r="J486" s="1" t="s">
        <v>24</v>
      </c>
      <c r="K486" s="2"/>
      <c r="L486" s="14">
        <v>47544021</v>
      </c>
      <c r="M486" t="s">
        <v>1282</v>
      </c>
      <c r="N486" s="12">
        <v>41754150</v>
      </c>
      <c r="O486" t="s">
        <v>1352</v>
      </c>
    </row>
    <row r="487" spans="1:15" x14ac:dyDescent="0.35">
      <c r="A487" s="1" t="s">
        <v>423</v>
      </c>
      <c r="B487" s="1" t="s">
        <v>4</v>
      </c>
      <c r="C487" s="1" t="s">
        <v>422</v>
      </c>
      <c r="D487" s="2">
        <v>45279</v>
      </c>
      <c r="E487" s="3">
        <v>73097445</v>
      </c>
      <c r="F487" s="3">
        <v>-17274873</v>
      </c>
      <c r="G487" s="3">
        <v>55822572</v>
      </c>
      <c r="H487" s="1" t="s">
        <v>0</v>
      </c>
      <c r="I487" s="1" t="s">
        <v>2</v>
      </c>
      <c r="J487" s="1" t="s">
        <v>24</v>
      </c>
      <c r="K487" s="2"/>
      <c r="L487" s="14">
        <v>47544021</v>
      </c>
      <c r="M487" t="s">
        <v>1282</v>
      </c>
      <c r="N487" s="12">
        <v>41754150</v>
      </c>
      <c r="O487" t="s">
        <v>1352</v>
      </c>
    </row>
    <row r="488" spans="1:15" hidden="1" x14ac:dyDescent="0.35">
      <c r="A488" s="1" t="s">
        <v>421</v>
      </c>
      <c r="B488" s="1" t="s">
        <v>4</v>
      </c>
      <c r="C488" s="1" t="s">
        <v>418</v>
      </c>
      <c r="D488" s="2">
        <v>45016</v>
      </c>
      <c r="E488" s="3">
        <v>4105500</v>
      </c>
      <c r="F488" s="3">
        <v>-2533038</v>
      </c>
      <c r="G488" s="3">
        <v>1572462</v>
      </c>
      <c r="H488" s="1" t="s">
        <v>0</v>
      </c>
      <c r="I488" s="1" t="s">
        <v>2</v>
      </c>
      <c r="J488" s="1" t="s">
        <v>56</v>
      </c>
      <c r="K488" s="2"/>
      <c r="L488" s="1">
        <v>47500021</v>
      </c>
      <c r="M488" t="s">
        <v>1294</v>
      </c>
      <c r="N488">
        <v>41750150</v>
      </c>
      <c r="O488" t="s">
        <v>1314</v>
      </c>
    </row>
    <row r="489" spans="1:15" hidden="1" x14ac:dyDescent="0.35">
      <c r="A489" s="1" t="s">
        <v>420</v>
      </c>
      <c r="B489" s="1" t="s">
        <v>4</v>
      </c>
      <c r="C489" s="1" t="s">
        <v>418</v>
      </c>
      <c r="D489" s="2">
        <v>45016</v>
      </c>
      <c r="E489" s="3">
        <v>4105500</v>
      </c>
      <c r="F489" s="3">
        <v>-2533038</v>
      </c>
      <c r="G489" s="3">
        <v>1572462</v>
      </c>
      <c r="H489" s="1" t="s">
        <v>0</v>
      </c>
      <c r="I489" s="1" t="s">
        <v>2</v>
      </c>
      <c r="J489" s="1" t="s">
        <v>56</v>
      </c>
      <c r="K489" s="2"/>
      <c r="L489" s="1">
        <v>47511022</v>
      </c>
      <c r="M489" t="s">
        <v>1301</v>
      </c>
      <c r="N489">
        <v>41751150</v>
      </c>
      <c r="O489" t="s">
        <v>1324</v>
      </c>
    </row>
    <row r="490" spans="1:15" hidden="1" x14ac:dyDescent="0.35">
      <c r="A490" s="1" t="s">
        <v>419</v>
      </c>
      <c r="B490" s="1" t="s">
        <v>4</v>
      </c>
      <c r="C490" s="1" t="s">
        <v>418</v>
      </c>
      <c r="D490" s="2">
        <v>45016</v>
      </c>
      <c r="E490" s="3">
        <v>4105500</v>
      </c>
      <c r="F490" s="3">
        <v>-2533038</v>
      </c>
      <c r="G490" s="3">
        <v>1572462</v>
      </c>
      <c r="H490" s="1" t="s">
        <v>0</v>
      </c>
      <c r="I490" s="1" t="s">
        <v>2</v>
      </c>
      <c r="J490" s="1" t="s">
        <v>56</v>
      </c>
      <c r="K490" s="2"/>
      <c r="L490" s="1">
        <v>47502021</v>
      </c>
      <c r="M490" t="s">
        <v>1297</v>
      </c>
      <c r="N490">
        <v>41750150</v>
      </c>
      <c r="O490" t="s">
        <v>1314</v>
      </c>
    </row>
    <row r="491" spans="1:15" hidden="1" x14ac:dyDescent="0.35">
      <c r="A491" s="1" t="s">
        <v>417</v>
      </c>
      <c r="B491" s="1" t="s">
        <v>4</v>
      </c>
      <c r="C491" s="1" t="s">
        <v>416</v>
      </c>
      <c r="D491" s="2">
        <v>45033</v>
      </c>
      <c r="E491" s="3">
        <v>3650694</v>
      </c>
      <c r="F491" s="3">
        <v>-1109210</v>
      </c>
      <c r="G491" s="3">
        <v>2541484</v>
      </c>
      <c r="H491" s="1" t="s">
        <v>0</v>
      </c>
      <c r="I491" s="1" t="s">
        <v>2</v>
      </c>
      <c r="J491" s="1" t="s">
        <v>76</v>
      </c>
      <c r="K491" s="2"/>
      <c r="L491" s="1">
        <v>47567101</v>
      </c>
      <c r="M491" t="s">
        <v>1270</v>
      </c>
      <c r="N491">
        <v>41756150</v>
      </c>
      <c r="O491" t="s">
        <v>1318</v>
      </c>
    </row>
    <row r="492" spans="1:15" hidden="1" x14ac:dyDescent="0.35">
      <c r="A492" s="1" t="s">
        <v>415</v>
      </c>
      <c r="B492" s="1" t="s">
        <v>4</v>
      </c>
      <c r="C492" s="1" t="s">
        <v>412</v>
      </c>
      <c r="D492" s="2">
        <v>45030</v>
      </c>
      <c r="E492" s="3">
        <v>1630117</v>
      </c>
      <c r="F492" s="3">
        <v>-1630117</v>
      </c>
      <c r="G492" s="3">
        <v>0</v>
      </c>
      <c r="H492" s="1" t="s">
        <v>0</v>
      </c>
      <c r="I492" s="1" t="s">
        <v>2</v>
      </c>
      <c r="J492" s="1" t="s">
        <v>300</v>
      </c>
      <c r="K492" s="2"/>
      <c r="L492" s="1">
        <v>47502031</v>
      </c>
      <c r="M492" t="s">
        <v>1279</v>
      </c>
      <c r="N492">
        <v>41750150</v>
      </c>
      <c r="O492" t="s">
        <v>1314</v>
      </c>
    </row>
    <row r="493" spans="1:15" hidden="1" x14ac:dyDescent="0.35">
      <c r="A493" s="1" t="s">
        <v>414</v>
      </c>
      <c r="B493" s="1" t="s">
        <v>4</v>
      </c>
      <c r="C493" s="1" t="s">
        <v>412</v>
      </c>
      <c r="D493" s="2">
        <v>45030</v>
      </c>
      <c r="E493" s="3">
        <v>1630117</v>
      </c>
      <c r="F493" s="3">
        <v>-1630117</v>
      </c>
      <c r="G493" s="3">
        <v>0</v>
      </c>
      <c r="H493" s="1" t="s">
        <v>0</v>
      </c>
      <c r="I493" s="1" t="s">
        <v>2</v>
      </c>
      <c r="J493" s="1" t="s">
        <v>300</v>
      </c>
      <c r="K493" s="2"/>
      <c r="L493" s="1">
        <v>47544010</v>
      </c>
      <c r="M493" t="s">
        <v>1296</v>
      </c>
      <c r="N493">
        <v>41754150</v>
      </c>
      <c r="O493" t="s">
        <v>1314</v>
      </c>
    </row>
    <row r="494" spans="1:15" hidden="1" x14ac:dyDescent="0.35">
      <c r="A494" s="1" t="s">
        <v>413</v>
      </c>
      <c r="B494" s="1" t="s">
        <v>4</v>
      </c>
      <c r="C494" s="1" t="s">
        <v>412</v>
      </c>
      <c r="D494" s="2">
        <v>45030</v>
      </c>
      <c r="E494" s="3">
        <v>1630117</v>
      </c>
      <c r="F494" s="3">
        <v>-1630117</v>
      </c>
      <c r="G494" s="3">
        <v>0</v>
      </c>
      <c r="H494" s="1" t="s">
        <v>0</v>
      </c>
      <c r="I494" s="1" t="s">
        <v>2</v>
      </c>
      <c r="J494" s="1" t="s">
        <v>300</v>
      </c>
      <c r="K494" s="2"/>
      <c r="L494" s="1">
        <v>47500021</v>
      </c>
      <c r="M494" t="s">
        <v>1294</v>
      </c>
      <c r="N494">
        <v>41750150</v>
      </c>
      <c r="O494" t="s">
        <v>1314</v>
      </c>
    </row>
    <row r="495" spans="1:15" x14ac:dyDescent="0.35">
      <c r="A495" s="1" t="s">
        <v>411</v>
      </c>
      <c r="B495" s="1" t="s">
        <v>4</v>
      </c>
      <c r="C495" s="1" t="s">
        <v>410</v>
      </c>
      <c r="D495" s="2">
        <v>45036</v>
      </c>
      <c r="E495" s="3">
        <v>28629451</v>
      </c>
      <c r="F495" s="3">
        <v>-17350231</v>
      </c>
      <c r="G495" s="3">
        <v>11279220</v>
      </c>
      <c r="H495" s="1" t="s">
        <v>0</v>
      </c>
      <c r="I495" s="1" t="s">
        <v>2</v>
      </c>
      <c r="J495" s="1" t="s">
        <v>202</v>
      </c>
      <c r="K495" s="2"/>
      <c r="L495" s="14">
        <v>47544032</v>
      </c>
      <c r="M495" t="s">
        <v>1277</v>
      </c>
      <c r="N495" s="12">
        <v>41754150</v>
      </c>
      <c r="O495" t="s">
        <v>1321</v>
      </c>
    </row>
    <row r="496" spans="1:15" hidden="1" x14ac:dyDescent="0.35">
      <c r="A496" s="1" t="s">
        <v>409</v>
      </c>
      <c r="B496" s="1" t="s">
        <v>4</v>
      </c>
      <c r="C496" s="1" t="s">
        <v>408</v>
      </c>
      <c r="D496" s="2">
        <v>45079</v>
      </c>
      <c r="E496" s="3">
        <v>5684375</v>
      </c>
      <c r="F496" s="3">
        <v>-1655478</v>
      </c>
      <c r="G496" s="3">
        <v>4028897</v>
      </c>
      <c r="H496" s="1" t="s">
        <v>0</v>
      </c>
      <c r="I496" s="1" t="s">
        <v>2</v>
      </c>
      <c r="J496" s="1" t="s">
        <v>355</v>
      </c>
      <c r="K496" s="2"/>
      <c r="L496" s="1">
        <v>47500051</v>
      </c>
      <c r="M496" t="s">
        <v>1287</v>
      </c>
      <c r="N496">
        <v>41750150</v>
      </c>
      <c r="O496" t="s">
        <v>1314</v>
      </c>
    </row>
    <row r="497" spans="1:15" hidden="1" x14ac:dyDescent="0.35">
      <c r="A497" s="1" t="s">
        <v>407</v>
      </c>
      <c r="B497" s="1" t="s">
        <v>4</v>
      </c>
      <c r="C497" s="1" t="s">
        <v>406</v>
      </c>
      <c r="D497" s="2">
        <v>45051</v>
      </c>
      <c r="E497" s="3">
        <v>2605100</v>
      </c>
      <c r="F497" s="3">
        <v>-778675</v>
      </c>
      <c r="G497" s="3">
        <v>1826425</v>
      </c>
      <c r="H497" s="1" t="s">
        <v>0</v>
      </c>
      <c r="I497" s="1" t="s">
        <v>2</v>
      </c>
      <c r="J497" s="1" t="s">
        <v>355</v>
      </c>
      <c r="K497" s="2"/>
      <c r="L497" s="1">
        <v>47500021</v>
      </c>
      <c r="M497" t="s">
        <v>1294</v>
      </c>
      <c r="N497">
        <v>41750150</v>
      </c>
      <c r="O497" t="s">
        <v>1314</v>
      </c>
    </row>
    <row r="498" spans="1:15" x14ac:dyDescent="0.35">
      <c r="A498" s="1" t="s">
        <v>405</v>
      </c>
      <c r="B498" s="1" t="s">
        <v>4</v>
      </c>
      <c r="C498" s="1" t="s">
        <v>404</v>
      </c>
      <c r="D498" s="2">
        <v>45103</v>
      </c>
      <c r="E498" s="3">
        <v>33769244</v>
      </c>
      <c r="F498" s="3">
        <v>-19225339</v>
      </c>
      <c r="G498" s="3">
        <v>14543905</v>
      </c>
      <c r="H498" s="1" t="s">
        <v>0</v>
      </c>
      <c r="I498" s="1" t="s">
        <v>2</v>
      </c>
      <c r="J498" s="1" t="s">
        <v>202</v>
      </c>
      <c r="K498" s="2"/>
      <c r="L498" s="14">
        <v>47544032</v>
      </c>
      <c r="M498" t="s">
        <v>1277</v>
      </c>
      <c r="N498" s="12">
        <v>41754150</v>
      </c>
      <c r="O498" t="s">
        <v>1321</v>
      </c>
    </row>
    <row r="499" spans="1:15" x14ac:dyDescent="0.35">
      <c r="A499" s="1" t="s">
        <v>403</v>
      </c>
      <c r="B499" s="1" t="s">
        <v>4</v>
      </c>
      <c r="C499" s="1" t="s">
        <v>402</v>
      </c>
      <c r="D499" s="2">
        <v>45048</v>
      </c>
      <c r="E499" s="3">
        <v>6088941</v>
      </c>
      <c r="F499" s="3">
        <v>-3650028</v>
      </c>
      <c r="G499" s="3">
        <v>2438913</v>
      </c>
      <c r="H499" s="1" t="s">
        <v>0</v>
      </c>
      <c r="I499" s="1" t="s">
        <v>2</v>
      </c>
      <c r="J499" s="1" t="s">
        <v>202</v>
      </c>
      <c r="K499" s="2"/>
      <c r="L499" s="14">
        <v>47544032</v>
      </c>
      <c r="M499" t="s">
        <v>1277</v>
      </c>
      <c r="N499" s="12">
        <v>41754150</v>
      </c>
      <c r="O499" t="s">
        <v>1321</v>
      </c>
    </row>
    <row r="500" spans="1:15" x14ac:dyDescent="0.35">
      <c r="A500" s="1" t="s">
        <v>401</v>
      </c>
      <c r="B500" s="1" t="s">
        <v>4</v>
      </c>
      <c r="C500" s="1" t="s">
        <v>400</v>
      </c>
      <c r="D500" s="2">
        <v>45048</v>
      </c>
      <c r="E500" s="3">
        <v>6088941</v>
      </c>
      <c r="F500" s="3">
        <v>-3650028</v>
      </c>
      <c r="G500" s="3">
        <v>2438913</v>
      </c>
      <c r="H500" s="1" t="s">
        <v>0</v>
      </c>
      <c r="I500" s="1" t="s">
        <v>2</v>
      </c>
      <c r="J500" s="1" t="s">
        <v>202</v>
      </c>
      <c r="K500" s="2"/>
      <c r="L500" s="14">
        <v>47544032</v>
      </c>
      <c r="M500" t="s">
        <v>1277</v>
      </c>
      <c r="N500" s="12">
        <v>41754150</v>
      </c>
      <c r="O500" t="s">
        <v>1321</v>
      </c>
    </row>
    <row r="501" spans="1:15" x14ac:dyDescent="0.35">
      <c r="A501" s="1" t="s">
        <v>399</v>
      </c>
      <c r="B501" s="1" t="s">
        <v>4</v>
      </c>
      <c r="C501" s="1" t="s">
        <v>396</v>
      </c>
      <c r="D501" s="2">
        <v>45170</v>
      </c>
      <c r="E501" s="3">
        <v>10115000</v>
      </c>
      <c r="F501" s="3">
        <v>-2693638</v>
      </c>
      <c r="G501" s="3">
        <v>7421362</v>
      </c>
      <c r="H501" s="1" t="s">
        <v>0</v>
      </c>
      <c r="I501" s="1" t="s">
        <v>2</v>
      </c>
      <c r="J501" s="1" t="s">
        <v>76</v>
      </c>
      <c r="K501" s="2"/>
      <c r="L501" s="14">
        <v>47544025</v>
      </c>
      <c r="M501" t="s">
        <v>1278</v>
      </c>
      <c r="N501" s="12">
        <v>41754150</v>
      </c>
      <c r="O501" t="s">
        <v>1343</v>
      </c>
    </row>
    <row r="502" spans="1:15" x14ac:dyDescent="0.35">
      <c r="A502" s="1" t="s">
        <v>398</v>
      </c>
      <c r="B502" s="1" t="s">
        <v>4</v>
      </c>
      <c r="C502" s="1" t="s">
        <v>396</v>
      </c>
      <c r="D502" s="2">
        <v>45139</v>
      </c>
      <c r="E502" s="3">
        <v>10115000</v>
      </c>
      <c r="F502" s="3">
        <v>-2779547</v>
      </c>
      <c r="G502" s="3">
        <v>7335453</v>
      </c>
      <c r="H502" s="1" t="s">
        <v>0</v>
      </c>
      <c r="I502" s="1" t="s">
        <v>2</v>
      </c>
      <c r="J502" s="1" t="s">
        <v>76</v>
      </c>
      <c r="K502" s="2"/>
      <c r="L502" s="14">
        <v>47544013</v>
      </c>
      <c r="M502" t="s">
        <v>1284</v>
      </c>
      <c r="N502" s="12">
        <v>41754150</v>
      </c>
      <c r="O502" t="s">
        <v>1360</v>
      </c>
    </row>
    <row r="503" spans="1:15" x14ac:dyDescent="0.35">
      <c r="A503" s="1" t="s">
        <v>397</v>
      </c>
      <c r="B503" s="1" t="s">
        <v>4</v>
      </c>
      <c r="C503" s="1" t="s">
        <v>396</v>
      </c>
      <c r="D503" s="2">
        <v>45133</v>
      </c>
      <c r="E503" s="3">
        <v>10115000</v>
      </c>
      <c r="F503" s="3">
        <v>-2796174</v>
      </c>
      <c r="G503" s="3">
        <v>7318826</v>
      </c>
      <c r="H503" s="1" t="s">
        <v>0</v>
      </c>
      <c r="I503" s="1" t="s">
        <v>2</v>
      </c>
      <c r="J503" s="1" t="s">
        <v>76</v>
      </c>
      <c r="K503" s="2"/>
      <c r="L503" s="14">
        <v>47544013</v>
      </c>
      <c r="M503" t="s">
        <v>1284</v>
      </c>
      <c r="N503" s="12">
        <v>41754150</v>
      </c>
      <c r="O503" t="s">
        <v>1360</v>
      </c>
    </row>
    <row r="504" spans="1:15" x14ac:dyDescent="0.35">
      <c r="A504" s="1" t="s">
        <v>395</v>
      </c>
      <c r="B504" s="1" t="s">
        <v>4</v>
      </c>
      <c r="C504" s="1" t="s">
        <v>394</v>
      </c>
      <c r="D504" s="2">
        <v>45091</v>
      </c>
      <c r="E504" s="3">
        <v>14432437</v>
      </c>
      <c r="F504" s="3">
        <v>-8311501</v>
      </c>
      <c r="G504" s="3">
        <v>6120936</v>
      </c>
      <c r="H504" s="1" t="s">
        <v>0</v>
      </c>
      <c r="I504" s="1" t="s">
        <v>2</v>
      </c>
      <c r="J504" s="1" t="s">
        <v>202</v>
      </c>
      <c r="K504" s="2"/>
      <c r="L504" s="14">
        <v>47567064</v>
      </c>
      <c r="M504" t="s">
        <v>1271</v>
      </c>
      <c r="N504" s="12">
        <v>41756150</v>
      </c>
      <c r="O504" t="s">
        <v>1321</v>
      </c>
    </row>
    <row r="505" spans="1:15" x14ac:dyDescent="0.35">
      <c r="A505" s="1" t="s">
        <v>393</v>
      </c>
      <c r="B505" s="1" t="s">
        <v>4</v>
      </c>
      <c r="C505" s="1" t="s">
        <v>390</v>
      </c>
      <c r="D505" s="2">
        <v>45061</v>
      </c>
      <c r="E505" s="3">
        <v>3081774</v>
      </c>
      <c r="F505" s="3">
        <v>-1825424</v>
      </c>
      <c r="G505" s="3">
        <v>1256350</v>
      </c>
      <c r="H505" s="1" t="s">
        <v>0</v>
      </c>
      <c r="I505" s="1" t="s">
        <v>2</v>
      </c>
      <c r="J505" s="1" t="s">
        <v>202</v>
      </c>
      <c r="K505" s="2"/>
      <c r="L505" s="14">
        <v>47544032</v>
      </c>
      <c r="M505" t="s">
        <v>1277</v>
      </c>
      <c r="N505" s="12">
        <v>41754150</v>
      </c>
      <c r="O505" t="s">
        <v>1321</v>
      </c>
    </row>
    <row r="506" spans="1:15" x14ac:dyDescent="0.35">
      <c r="A506" s="1" t="s">
        <v>392</v>
      </c>
      <c r="B506" s="1" t="s">
        <v>4</v>
      </c>
      <c r="C506" s="1" t="s">
        <v>390</v>
      </c>
      <c r="D506" s="2">
        <v>45061</v>
      </c>
      <c r="E506" s="3">
        <v>3081774</v>
      </c>
      <c r="F506" s="3">
        <v>-1825424</v>
      </c>
      <c r="G506" s="3">
        <v>1256350</v>
      </c>
      <c r="H506" s="1" t="s">
        <v>0</v>
      </c>
      <c r="I506" s="1" t="s">
        <v>2</v>
      </c>
      <c r="J506" s="1" t="s">
        <v>202</v>
      </c>
      <c r="K506" s="2"/>
      <c r="L506" s="14">
        <v>47544032</v>
      </c>
      <c r="M506" t="s">
        <v>1277</v>
      </c>
      <c r="N506" s="12">
        <v>41754150</v>
      </c>
      <c r="O506" t="s">
        <v>1321</v>
      </c>
    </row>
    <row r="507" spans="1:15" x14ac:dyDescent="0.35">
      <c r="A507" s="1" t="s">
        <v>391</v>
      </c>
      <c r="B507" s="1" t="s">
        <v>4</v>
      </c>
      <c r="C507" s="1" t="s">
        <v>390</v>
      </c>
      <c r="D507" s="2">
        <v>45061</v>
      </c>
      <c r="E507" s="3">
        <v>3081774</v>
      </c>
      <c r="F507" s="3">
        <v>-1825424</v>
      </c>
      <c r="G507" s="3">
        <v>1256350</v>
      </c>
      <c r="H507" s="1" t="s">
        <v>0</v>
      </c>
      <c r="I507" s="1" t="s">
        <v>2</v>
      </c>
      <c r="J507" s="1" t="s">
        <v>202</v>
      </c>
      <c r="K507" s="2"/>
      <c r="L507" s="14">
        <v>47544032</v>
      </c>
      <c r="M507" t="s">
        <v>1277</v>
      </c>
      <c r="N507" s="12">
        <v>41754150</v>
      </c>
      <c r="O507" t="s">
        <v>1321</v>
      </c>
    </row>
    <row r="508" spans="1:15" hidden="1" x14ac:dyDescent="0.35">
      <c r="A508" s="1" t="s">
        <v>389</v>
      </c>
      <c r="B508" s="1" t="s">
        <v>4</v>
      </c>
      <c r="C508" s="1" t="s">
        <v>386</v>
      </c>
      <c r="D508" s="2">
        <v>45075</v>
      </c>
      <c r="E508" s="3">
        <v>4229629</v>
      </c>
      <c r="F508" s="3">
        <v>-2472885</v>
      </c>
      <c r="G508" s="3">
        <v>1756744</v>
      </c>
      <c r="H508" s="1" t="s">
        <v>0</v>
      </c>
      <c r="I508" s="1" t="s">
        <v>2</v>
      </c>
      <c r="J508" s="1" t="s">
        <v>56</v>
      </c>
      <c r="K508" s="2"/>
      <c r="L508" s="1">
        <v>47567081</v>
      </c>
      <c r="M508" t="s">
        <v>1274</v>
      </c>
      <c r="N508">
        <v>41756150</v>
      </c>
      <c r="O508" t="s">
        <v>1316</v>
      </c>
    </row>
    <row r="509" spans="1:15" hidden="1" x14ac:dyDescent="0.35">
      <c r="A509" s="1" t="s">
        <v>388</v>
      </c>
      <c r="B509" s="1" t="s">
        <v>4</v>
      </c>
      <c r="C509" s="1" t="s">
        <v>386</v>
      </c>
      <c r="D509" s="2">
        <v>45075</v>
      </c>
      <c r="E509" s="3">
        <v>4229629</v>
      </c>
      <c r="F509" s="3">
        <v>-2472885</v>
      </c>
      <c r="G509" s="3">
        <v>1756744</v>
      </c>
      <c r="H509" s="1" t="s">
        <v>0</v>
      </c>
      <c r="I509" s="1" t="s">
        <v>2</v>
      </c>
      <c r="J509" s="1" t="s">
        <v>56</v>
      </c>
      <c r="K509" s="2"/>
      <c r="L509" s="1">
        <v>47567081</v>
      </c>
      <c r="M509" t="s">
        <v>1274</v>
      </c>
      <c r="N509">
        <v>41756150</v>
      </c>
      <c r="O509" t="s">
        <v>1316</v>
      </c>
    </row>
    <row r="510" spans="1:15" hidden="1" x14ac:dyDescent="0.35">
      <c r="A510" s="1" t="s">
        <v>387</v>
      </c>
      <c r="B510" s="1" t="s">
        <v>4</v>
      </c>
      <c r="C510" s="1" t="s">
        <v>386</v>
      </c>
      <c r="D510" s="2">
        <v>45075</v>
      </c>
      <c r="E510" s="3">
        <v>4229629</v>
      </c>
      <c r="F510" s="3">
        <v>-2472885</v>
      </c>
      <c r="G510" s="3">
        <v>1756744</v>
      </c>
      <c r="H510" s="1" t="s">
        <v>0</v>
      </c>
      <c r="I510" s="1" t="s">
        <v>2</v>
      </c>
      <c r="J510" s="1" t="s">
        <v>56</v>
      </c>
      <c r="K510" s="2"/>
      <c r="L510" s="1">
        <v>47567081</v>
      </c>
      <c r="M510" t="s">
        <v>1274</v>
      </c>
      <c r="N510">
        <v>41756150</v>
      </c>
      <c r="O510" t="s">
        <v>1316</v>
      </c>
    </row>
    <row r="511" spans="1:15" x14ac:dyDescent="0.35">
      <c r="A511" s="1" t="s">
        <v>385</v>
      </c>
      <c r="B511" s="1" t="s">
        <v>4</v>
      </c>
      <c r="C511" s="1" t="s">
        <v>360</v>
      </c>
      <c r="D511" s="2">
        <v>45092</v>
      </c>
      <c r="E511" s="3">
        <v>3254114</v>
      </c>
      <c r="F511" s="3">
        <v>-936115</v>
      </c>
      <c r="G511" s="3">
        <v>2317999</v>
      </c>
      <c r="H511" s="1" t="s">
        <v>0</v>
      </c>
      <c r="I511" s="1" t="s">
        <v>2</v>
      </c>
      <c r="J511" s="1" t="s">
        <v>76</v>
      </c>
      <c r="K511" s="2"/>
      <c r="L511" s="14">
        <v>47544019</v>
      </c>
      <c r="M511" t="s">
        <v>1290</v>
      </c>
      <c r="N511" s="12">
        <v>41754150</v>
      </c>
      <c r="O511" t="s">
        <v>1363</v>
      </c>
    </row>
    <row r="512" spans="1:15" x14ac:dyDescent="0.35">
      <c r="A512" s="1" t="s">
        <v>384</v>
      </c>
      <c r="B512" s="1" t="s">
        <v>4</v>
      </c>
      <c r="C512" s="1" t="s">
        <v>383</v>
      </c>
      <c r="D512" s="2">
        <v>45092</v>
      </c>
      <c r="E512" s="17">
        <v>2567581</v>
      </c>
      <c r="F512" s="17">
        <v>-738619</v>
      </c>
      <c r="G512" s="17">
        <v>1828962</v>
      </c>
      <c r="H512" s="1" t="s">
        <v>0</v>
      </c>
      <c r="I512" s="1" t="s">
        <v>2</v>
      </c>
      <c r="J512" s="16" t="s">
        <v>76</v>
      </c>
      <c r="K512" s="2"/>
      <c r="L512" s="14">
        <v>47544024</v>
      </c>
      <c r="M512" t="s">
        <v>1275</v>
      </c>
      <c r="N512" s="12">
        <v>41754150</v>
      </c>
      <c r="O512" t="s">
        <v>1339</v>
      </c>
    </row>
    <row r="513" spans="1:15" hidden="1" x14ac:dyDescent="0.35">
      <c r="A513" s="1" t="s">
        <v>382</v>
      </c>
      <c r="B513" s="1" t="s">
        <v>4</v>
      </c>
      <c r="C513" s="1" t="s">
        <v>381</v>
      </c>
      <c r="D513" s="2">
        <v>45093</v>
      </c>
      <c r="E513" s="3">
        <v>3450000</v>
      </c>
      <c r="F513" s="3">
        <v>-1983041</v>
      </c>
      <c r="G513" s="3">
        <v>1466959</v>
      </c>
      <c r="H513" s="1" t="s">
        <v>0</v>
      </c>
      <c r="I513" s="1" t="s">
        <v>2</v>
      </c>
      <c r="J513" s="1" t="s">
        <v>56</v>
      </c>
      <c r="K513" s="2"/>
      <c r="L513" s="1">
        <v>47567015</v>
      </c>
      <c r="M513" t="s">
        <v>1272</v>
      </c>
      <c r="N513">
        <v>41756150</v>
      </c>
      <c r="O513" t="s">
        <v>1315</v>
      </c>
    </row>
    <row r="514" spans="1:15" hidden="1" x14ac:dyDescent="0.35">
      <c r="A514" s="1" t="s">
        <v>380</v>
      </c>
      <c r="B514" s="1" t="s">
        <v>4</v>
      </c>
      <c r="C514" s="1" t="s">
        <v>378</v>
      </c>
      <c r="D514" s="2">
        <v>45093</v>
      </c>
      <c r="E514" s="3">
        <v>2990000</v>
      </c>
      <c r="F514" s="3">
        <v>-1718636</v>
      </c>
      <c r="G514" s="3">
        <v>1271364</v>
      </c>
      <c r="H514" s="1" t="s">
        <v>0</v>
      </c>
      <c r="I514" s="1" t="s">
        <v>2</v>
      </c>
      <c r="J514" s="1" t="s">
        <v>56</v>
      </c>
      <c r="K514" s="2"/>
      <c r="L514" s="1">
        <v>47567061</v>
      </c>
      <c r="M514" t="s">
        <v>1307</v>
      </c>
      <c r="N514">
        <v>41756150</v>
      </c>
      <c r="O514" t="s">
        <v>1323</v>
      </c>
    </row>
    <row r="515" spans="1:15" hidden="1" x14ac:dyDescent="0.35">
      <c r="A515" s="1" t="s">
        <v>379</v>
      </c>
      <c r="B515" s="1" t="s">
        <v>4</v>
      </c>
      <c r="C515" s="1" t="s">
        <v>378</v>
      </c>
      <c r="D515" s="2">
        <v>45093</v>
      </c>
      <c r="E515" s="3">
        <v>2990000</v>
      </c>
      <c r="F515" s="3">
        <v>-1718636</v>
      </c>
      <c r="G515" s="3">
        <v>1271364</v>
      </c>
      <c r="H515" s="1" t="s">
        <v>0</v>
      </c>
      <c r="I515" s="1" t="s">
        <v>2</v>
      </c>
      <c r="J515" s="1" t="s">
        <v>56</v>
      </c>
      <c r="K515" s="2"/>
      <c r="L515" s="1">
        <v>47567061</v>
      </c>
      <c r="M515" t="s">
        <v>1307</v>
      </c>
      <c r="N515">
        <v>41756150</v>
      </c>
      <c r="O515" t="s">
        <v>1323</v>
      </c>
    </row>
    <row r="516" spans="1:15" hidden="1" x14ac:dyDescent="0.35">
      <c r="A516" s="1" t="s">
        <v>377</v>
      </c>
      <c r="B516" s="1" t="s">
        <v>4</v>
      </c>
      <c r="C516" s="1" t="s">
        <v>376</v>
      </c>
      <c r="D516" s="2">
        <v>45104</v>
      </c>
      <c r="E516" s="3">
        <v>2619000</v>
      </c>
      <c r="F516" s="3">
        <v>-1489601</v>
      </c>
      <c r="G516" s="3">
        <v>1129399</v>
      </c>
      <c r="H516" s="1" t="s">
        <v>0</v>
      </c>
      <c r="I516" s="1" t="s">
        <v>2</v>
      </c>
      <c r="J516" s="1" t="s">
        <v>56</v>
      </c>
      <c r="K516" s="2"/>
      <c r="L516" s="1">
        <v>47567015</v>
      </c>
      <c r="M516" t="s">
        <v>1272</v>
      </c>
      <c r="N516">
        <v>41756150</v>
      </c>
      <c r="O516" t="s">
        <v>1315</v>
      </c>
    </row>
    <row r="517" spans="1:15" hidden="1" x14ac:dyDescent="0.35">
      <c r="A517" s="1" t="s">
        <v>375</v>
      </c>
      <c r="B517" s="1" t="s">
        <v>4</v>
      </c>
      <c r="C517" s="1" t="s">
        <v>371</v>
      </c>
      <c r="D517" s="2">
        <v>45120</v>
      </c>
      <c r="E517" s="3">
        <v>3735410</v>
      </c>
      <c r="F517" s="3">
        <v>-2091830</v>
      </c>
      <c r="G517" s="3">
        <v>1643580</v>
      </c>
      <c r="H517" s="1" t="s">
        <v>0</v>
      </c>
      <c r="I517" s="1" t="s">
        <v>2</v>
      </c>
      <c r="J517" s="1" t="s">
        <v>56</v>
      </c>
      <c r="K517" s="2"/>
      <c r="L517" s="1">
        <v>47567041</v>
      </c>
      <c r="M517" t="s">
        <v>1291</v>
      </c>
      <c r="N517">
        <v>41756150</v>
      </c>
      <c r="O517" t="s">
        <v>1319</v>
      </c>
    </row>
    <row r="518" spans="1:15" hidden="1" x14ac:dyDescent="0.35">
      <c r="A518" s="1" t="s">
        <v>374</v>
      </c>
      <c r="B518" s="1" t="s">
        <v>4</v>
      </c>
      <c r="C518" s="1" t="s">
        <v>371</v>
      </c>
      <c r="D518" s="2">
        <v>45120</v>
      </c>
      <c r="E518" s="3">
        <v>3735410</v>
      </c>
      <c r="F518" s="3">
        <v>-2091830</v>
      </c>
      <c r="G518" s="3">
        <v>1643580</v>
      </c>
      <c r="H518" s="1" t="s">
        <v>0</v>
      </c>
      <c r="I518" s="1" t="s">
        <v>2</v>
      </c>
      <c r="J518" s="1" t="s">
        <v>56</v>
      </c>
      <c r="K518" s="2"/>
      <c r="L518" s="1">
        <v>47567041</v>
      </c>
      <c r="M518" t="s">
        <v>1291</v>
      </c>
      <c r="N518">
        <v>41756150</v>
      </c>
      <c r="O518" t="s">
        <v>1319</v>
      </c>
    </row>
    <row r="519" spans="1:15" hidden="1" x14ac:dyDescent="0.35">
      <c r="A519" s="1" t="s">
        <v>373</v>
      </c>
      <c r="B519" s="1" t="s">
        <v>4</v>
      </c>
      <c r="C519" s="1" t="s">
        <v>371</v>
      </c>
      <c r="D519" s="2">
        <v>45120</v>
      </c>
      <c r="E519" s="3">
        <v>3735410</v>
      </c>
      <c r="F519" s="3">
        <v>-2091830</v>
      </c>
      <c r="G519" s="3">
        <v>1643580</v>
      </c>
      <c r="H519" s="1" t="s">
        <v>0</v>
      </c>
      <c r="I519" s="1" t="s">
        <v>2</v>
      </c>
      <c r="J519" s="1" t="s">
        <v>56</v>
      </c>
      <c r="K519" s="2"/>
      <c r="L519" s="1">
        <v>47567041</v>
      </c>
      <c r="M519" t="s">
        <v>1291</v>
      </c>
      <c r="N519">
        <v>41756150</v>
      </c>
      <c r="O519" t="s">
        <v>1319</v>
      </c>
    </row>
    <row r="520" spans="1:15" hidden="1" x14ac:dyDescent="0.35">
      <c r="A520" s="1" t="s">
        <v>372</v>
      </c>
      <c r="B520" s="1" t="s">
        <v>4</v>
      </c>
      <c r="C520" s="1" t="s">
        <v>371</v>
      </c>
      <c r="D520" s="2">
        <v>45121</v>
      </c>
      <c r="E520" s="3">
        <v>3139000</v>
      </c>
      <c r="F520" s="3">
        <v>-1756120</v>
      </c>
      <c r="G520" s="3">
        <v>1382880</v>
      </c>
      <c r="H520" s="1" t="s">
        <v>0</v>
      </c>
      <c r="I520" s="1" t="s">
        <v>2</v>
      </c>
      <c r="J520" s="1" t="s">
        <v>56</v>
      </c>
      <c r="K520" s="2"/>
      <c r="L520" s="1">
        <v>97411081</v>
      </c>
      <c r="M520" t="s">
        <v>1310</v>
      </c>
      <c r="N520">
        <v>32741130</v>
      </c>
      <c r="O520" t="s">
        <v>1325</v>
      </c>
    </row>
    <row r="521" spans="1:15" hidden="1" x14ac:dyDescent="0.35">
      <c r="A521" s="1" t="s">
        <v>370</v>
      </c>
      <c r="B521" s="1" t="s">
        <v>4</v>
      </c>
      <c r="C521" s="1" t="s">
        <v>369</v>
      </c>
      <c r="D521" s="2">
        <v>45132</v>
      </c>
      <c r="E521" s="3">
        <v>2656080</v>
      </c>
      <c r="F521" s="3">
        <v>-734970</v>
      </c>
      <c r="G521" s="3">
        <v>1921110</v>
      </c>
      <c r="H521" s="1" t="s">
        <v>0</v>
      </c>
      <c r="I521" s="1" t="s">
        <v>2</v>
      </c>
      <c r="J521" s="1" t="s">
        <v>355</v>
      </c>
      <c r="K521" s="2"/>
      <c r="L521" s="1">
        <v>47567102</v>
      </c>
      <c r="M521" t="s">
        <v>1273</v>
      </c>
      <c r="N521">
        <v>41756150</v>
      </c>
      <c r="O521" t="s">
        <v>1320</v>
      </c>
    </row>
    <row r="522" spans="1:15" hidden="1" x14ac:dyDescent="0.35">
      <c r="A522" s="1" t="s">
        <v>368</v>
      </c>
      <c r="B522" s="1" t="s">
        <v>4</v>
      </c>
      <c r="C522" s="1" t="s">
        <v>367</v>
      </c>
      <c r="D522" s="2">
        <v>45138</v>
      </c>
      <c r="E522" s="3">
        <v>3735410</v>
      </c>
      <c r="F522" s="3">
        <v>-2054987</v>
      </c>
      <c r="G522" s="3">
        <v>1680423</v>
      </c>
      <c r="H522" s="1" t="s">
        <v>0</v>
      </c>
      <c r="I522" s="1" t="s">
        <v>2</v>
      </c>
      <c r="J522" s="1" t="s">
        <v>56</v>
      </c>
      <c r="K522" s="2"/>
      <c r="L522" s="1">
        <v>47544010</v>
      </c>
      <c r="M522" t="s">
        <v>1296</v>
      </c>
      <c r="N522">
        <v>41754150</v>
      </c>
      <c r="O522" t="s">
        <v>1314</v>
      </c>
    </row>
    <row r="523" spans="1:15" x14ac:dyDescent="0.35">
      <c r="A523" s="1" t="s">
        <v>366</v>
      </c>
      <c r="B523" s="1" t="s">
        <v>4</v>
      </c>
      <c r="C523" s="1" t="s">
        <v>365</v>
      </c>
      <c r="D523" s="2">
        <v>45167</v>
      </c>
      <c r="E523" s="3">
        <v>12947200</v>
      </c>
      <c r="F523" s="3">
        <v>-3458498</v>
      </c>
      <c r="G523" s="3">
        <v>9488702</v>
      </c>
      <c r="H523" s="1" t="s">
        <v>0</v>
      </c>
      <c r="I523" s="1" t="s">
        <v>2</v>
      </c>
      <c r="J523" s="1" t="s">
        <v>24</v>
      </c>
      <c r="K523" s="2"/>
      <c r="L523" s="14">
        <v>47544021</v>
      </c>
      <c r="M523" t="s">
        <v>1282</v>
      </c>
      <c r="N523" s="12">
        <v>41754150</v>
      </c>
      <c r="O523" t="s">
        <v>1352</v>
      </c>
    </row>
    <row r="524" spans="1:15" x14ac:dyDescent="0.35">
      <c r="A524" s="1" t="s">
        <v>364</v>
      </c>
      <c r="B524" s="1" t="s">
        <v>4</v>
      </c>
      <c r="C524" s="1" t="s">
        <v>363</v>
      </c>
      <c r="D524" s="2">
        <v>45147</v>
      </c>
      <c r="E524" s="3">
        <v>5462185</v>
      </c>
      <c r="F524" s="3">
        <v>-1489008</v>
      </c>
      <c r="G524" s="3">
        <v>3973177</v>
      </c>
      <c r="H524" s="1" t="s">
        <v>0</v>
      </c>
      <c r="I524" s="1" t="s">
        <v>2</v>
      </c>
      <c r="J524" s="1" t="s">
        <v>76</v>
      </c>
      <c r="K524" s="2"/>
      <c r="L524" s="14">
        <v>47544019</v>
      </c>
      <c r="M524" t="s">
        <v>1290</v>
      </c>
      <c r="N524" s="12">
        <v>41754150</v>
      </c>
      <c r="O524" t="s">
        <v>1345</v>
      </c>
    </row>
    <row r="525" spans="1:15" x14ac:dyDescent="0.35">
      <c r="A525" s="1" t="s">
        <v>362</v>
      </c>
      <c r="B525" s="1" t="s">
        <v>4</v>
      </c>
      <c r="C525" s="1" t="s">
        <v>361</v>
      </c>
      <c r="D525" s="2">
        <v>45154</v>
      </c>
      <c r="E525" s="17">
        <v>4899230</v>
      </c>
      <c r="F525" s="17">
        <v>-2652295</v>
      </c>
      <c r="G525" s="17">
        <v>2246935</v>
      </c>
      <c r="H525" s="1" t="s">
        <v>0</v>
      </c>
      <c r="I525" s="1" t="s">
        <v>2</v>
      </c>
      <c r="J525" s="16" t="s">
        <v>129</v>
      </c>
      <c r="K525" s="2"/>
      <c r="L525" s="14">
        <v>47544024</v>
      </c>
      <c r="M525" t="s">
        <v>1275</v>
      </c>
      <c r="N525" s="12">
        <v>41754150</v>
      </c>
      <c r="O525" t="s">
        <v>1357</v>
      </c>
    </row>
    <row r="526" spans="1:15" x14ac:dyDescent="0.35">
      <c r="A526" s="1" t="s">
        <v>359</v>
      </c>
      <c r="B526" s="1" t="s">
        <v>4</v>
      </c>
      <c r="C526" s="1" t="s">
        <v>360</v>
      </c>
      <c r="D526" s="2">
        <v>45149</v>
      </c>
      <c r="E526" s="3">
        <v>3554114</v>
      </c>
      <c r="F526" s="3">
        <v>-966913</v>
      </c>
      <c r="G526" s="3">
        <v>2587201</v>
      </c>
      <c r="H526" s="1" t="s">
        <v>0</v>
      </c>
      <c r="I526" s="1" t="s">
        <v>2</v>
      </c>
      <c r="J526" s="1" t="s">
        <v>76</v>
      </c>
      <c r="K526" s="2"/>
      <c r="L526" s="14">
        <v>47544019</v>
      </c>
      <c r="M526" t="s">
        <v>1290</v>
      </c>
      <c r="N526" s="12">
        <v>41754150</v>
      </c>
      <c r="O526" t="s">
        <v>1363</v>
      </c>
    </row>
    <row r="527" spans="1:15" x14ac:dyDescent="0.35">
      <c r="A527" s="1" t="s">
        <v>359</v>
      </c>
      <c r="B527" s="1" t="s">
        <v>23</v>
      </c>
      <c r="C527" s="1" t="s">
        <v>358</v>
      </c>
      <c r="D527" s="2">
        <v>45175</v>
      </c>
      <c r="E527" s="3">
        <v>2618000</v>
      </c>
      <c r="F527" s="3">
        <v>-693590</v>
      </c>
      <c r="G527" s="3">
        <v>1924410</v>
      </c>
      <c r="H527" s="1" t="s">
        <v>0</v>
      </c>
      <c r="I527" s="1" t="s">
        <v>2</v>
      </c>
      <c r="J527" s="1" t="s">
        <v>76</v>
      </c>
      <c r="K527" s="2"/>
      <c r="L527" s="14">
        <v>47544019</v>
      </c>
      <c r="M527" t="s">
        <v>1290</v>
      </c>
      <c r="N527" s="12">
        <v>41754150</v>
      </c>
      <c r="O527" t="s">
        <v>1363</v>
      </c>
    </row>
    <row r="528" spans="1:15" hidden="1" x14ac:dyDescent="0.35">
      <c r="A528" s="1" t="s">
        <v>357</v>
      </c>
      <c r="B528" s="1" t="s">
        <v>4</v>
      </c>
      <c r="C528" s="1" t="s">
        <v>356</v>
      </c>
      <c r="D528" s="2">
        <v>45181</v>
      </c>
      <c r="E528" s="3">
        <v>4246396</v>
      </c>
      <c r="F528" s="3">
        <v>-1118025</v>
      </c>
      <c r="G528" s="3">
        <v>3128371</v>
      </c>
      <c r="H528" s="1" t="s">
        <v>0</v>
      </c>
      <c r="I528" s="1" t="s">
        <v>2</v>
      </c>
      <c r="J528" s="1" t="s">
        <v>355</v>
      </c>
      <c r="K528" s="2"/>
      <c r="L528" s="1">
        <v>47567101</v>
      </c>
      <c r="M528" t="s">
        <v>1270</v>
      </c>
      <c r="N528">
        <v>41756150</v>
      </c>
      <c r="O528" t="s">
        <v>1318</v>
      </c>
    </row>
    <row r="529" spans="1:15" hidden="1" x14ac:dyDescent="0.35">
      <c r="A529" s="1" t="s">
        <v>354</v>
      </c>
      <c r="B529" s="1" t="s">
        <v>4</v>
      </c>
      <c r="C529" s="1" t="s">
        <v>353</v>
      </c>
      <c r="D529" s="2">
        <v>45163</v>
      </c>
      <c r="E529" s="3">
        <v>6658409</v>
      </c>
      <c r="F529" s="3">
        <v>-3571826</v>
      </c>
      <c r="G529" s="3">
        <v>3086583</v>
      </c>
      <c r="H529" s="1" t="s">
        <v>0</v>
      </c>
      <c r="I529" s="1" t="s">
        <v>2</v>
      </c>
      <c r="J529" s="1" t="s">
        <v>56</v>
      </c>
      <c r="K529" s="2"/>
      <c r="L529" s="1">
        <v>47567063</v>
      </c>
      <c r="M529" t="s">
        <v>1293</v>
      </c>
      <c r="N529">
        <v>41756150</v>
      </c>
      <c r="O529" t="s">
        <v>1323</v>
      </c>
    </row>
    <row r="530" spans="1:15" x14ac:dyDescent="0.35">
      <c r="A530" s="1" t="s">
        <v>352</v>
      </c>
      <c r="B530" s="1" t="s">
        <v>4</v>
      </c>
      <c r="C530" s="1" t="s">
        <v>351</v>
      </c>
      <c r="D530" s="2">
        <v>45174</v>
      </c>
      <c r="E530" s="3">
        <v>4021099</v>
      </c>
      <c r="F530" s="3">
        <v>-1066418</v>
      </c>
      <c r="G530" s="3">
        <v>2954681</v>
      </c>
      <c r="H530" s="1" t="s">
        <v>0</v>
      </c>
      <c r="I530" s="1" t="s">
        <v>2</v>
      </c>
      <c r="J530" s="1" t="s">
        <v>76</v>
      </c>
      <c r="K530" s="2"/>
      <c r="L530" s="14">
        <v>47544017</v>
      </c>
      <c r="M530" t="s">
        <v>1283</v>
      </c>
      <c r="N530" s="12">
        <v>41754150</v>
      </c>
      <c r="O530" t="s">
        <v>1347</v>
      </c>
    </row>
    <row r="531" spans="1:15" x14ac:dyDescent="0.35">
      <c r="A531" s="23" t="s">
        <v>350</v>
      </c>
      <c r="B531" s="1" t="s">
        <v>4</v>
      </c>
      <c r="C531" s="1" t="s">
        <v>349</v>
      </c>
      <c r="D531" s="2">
        <v>45173</v>
      </c>
      <c r="E531" s="3">
        <v>52379884</v>
      </c>
      <c r="F531" s="3">
        <v>-13905782</v>
      </c>
      <c r="G531" s="3">
        <v>38474102</v>
      </c>
      <c r="H531" s="1" t="s">
        <v>0</v>
      </c>
      <c r="I531" s="1" t="s">
        <v>2</v>
      </c>
      <c r="J531" s="1" t="s">
        <v>76</v>
      </c>
      <c r="K531" s="2"/>
      <c r="L531" s="14">
        <v>47544013</v>
      </c>
      <c r="M531" t="s">
        <v>1284</v>
      </c>
      <c r="N531" s="12">
        <v>41754150</v>
      </c>
      <c r="O531" t="s">
        <v>1365</v>
      </c>
    </row>
    <row r="532" spans="1:15" hidden="1" x14ac:dyDescent="0.35">
      <c r="A532" s="1" t="s">
        <v>348</v>
      </c>
      <c r="B532" s="1" t="s">
        <v>4</v>
      </c>
      <c r="C532" s="1" t="s">
        <v>347</v>
      </c>
      <c r="D532" s="2">
        <v>45194</v>
      </c>
      <c r="E532" s="3">
        <v>3749350</v>
      </c>
      <c r="F532" s="3">
        <v>-973803</v>
      </c>
      <c r="G532" s="3">
        <v>2775547</v>
      </c>
      <c r="H532" s="1" t="s">
        <v>0</v>
      </c>
      <c r="I532" s="1" t="s">
        <v>2</v>
      </c>
      <c r="J532" s="1" t="s">
        <v>76</v>
      </c>
      <c r="K532" s="2"/>
      <c r="L532" s="1">
        <v>47567101</v>
      </c>
      <c r="M532" t="s">
        <v>1270</v>
      </c>
      <c r="N532">
        <v>41756150</v>
      </c>
      <c r="O532" t="s">
        <v>1318</v>
      </c>
    </row>
    <row r="533" spans="1:15" hidden="1" x14ac:dyDescent="0.35">
      <c r="A533" s="1" t="s">
        <v>346</v>
      </c>
      <c r="B533" s="1" t="s">
        <v>4</v>
      </c>
      <c r="C533" s="1" t="s">
        <v>345</v>
      </c>
      <c r="D533" s="2">
        <v>45201</v>
      </c>
      <c r="E533" s="3">
        <v>4427990</v>
      </c>
      <c r="F533" s="3">
        <v>-2283145</v>
      </c>
      <c r="G533" s="3">
        <v>2144845</v>
      </c>
      <c r="H533" s="1" t="s">
        <v>0</v>
      </c>
      <c r="I533" s="1" t="s">
        <v>2</v>
      </c>
      <c r="J533" s="1" t="s">
        <v>56</v>
      </c>
      <c r="K533" s="2"/>
      <c r="L533" s="1">
        <v>47502031</v>
      </c>
      <c r="M533" t="s">
        <v>1279</v>
      </c>
      <c r="N533">
        <v>41750150</v>
      </c>
      <c r="O533" t="s">
        <v>1314</v>
      </c>
    </row>
    <row r="534" spans="1:15" x14ac:dyDescent="0.35">
      <c r="A534" s="1" t="s">
        <v>344</v>
      </c>
      <c r="B534" s="1" t="s">
        <v>4</v>
      </c>
      <c r="C534" s="1" t="s">
        <v>343</v>
      </c>
      <c r="D534" s="2">
        <v>45621</v>
      </c>
      <c r="E534" s="17">
        <v>6829238</v>
      </c>
      <c r="F534" s="17">
        <v>-973036</v>
      </c>
      <c r="G534" s="17">
        <v>5856202</v>
      </c>
      <c r="H534" s="1" t="s">
        <v>0</v>
      </c>
      <c r="I534" s="1" t="s">
        <v>2</v>
      </c>
      <c r="J534" s="16" t="s">
        <v>24</v>
      </c>
      <c r="K534" s="2"/>
      <c r="L534" s="14">
        <v>47544024</v>
      </c>
      <c r="M534" t="s">
        <v>1275</v>
      </c>
      <c r="N534" s="12">
        <v>41754150</v>
      </c>
      <c r="O534" t="s">
        <v>1339</v>
      </c>
    </row>
    <row r="535" spans="1:15" x14ac:dyDescent="0.35">
      <c r="A535" s="1" t="s">
        <v>342</v>
      </c>
      <c r="B535" s="1" t="s">
        <v>4</v>
      </c>
      <c r="C535" s="1" t="s">
        <v>341</v>
      </c>
      <c r="D535" s="2">
        <v>45621</v>
      </c>
      <c r="E535" s="17">
        <v>7297819</v>
      </c>
      <c r="F535" s="17">
        <v>-1039799</v>
      </c>
      <c r="G535" s="17">
        <v>6258020</v>
      </c>
      <c r="H535" s="1" t="s">
        <v>0</v>
      </c>
      <c r="I535" s="1" t="s">
        <v>2</v>
      </c>
      <c r="J535" s="16" t="s">
        <v>24</v>
      </c>
      <c r="K535" s="2"/>
      <c r="L535" s="14">
        <v>47544024</v>
      </c>
      <c r="M535" t="s">
        <v>1275</v>
      </c>
      <c r="N535" s="12">
        <v>41754150</v>
      </c>
      <c r="O535" t="s">
        <v>1339</v>
      </c>
    </row>
    <row r="536" spans="1:15" x14ac:dyDescent="0.35">
      <c r="A536" s="1" t="s">
        <v>340</v>
      </c>
      <c r="B536" s="1" t="s">
        <v>4</v>
      </c>
      <c r="C536" s="1" t="s">
        <v>339</v>
      </c>
      <c r="D536" s="2">
        <v>45621</v>
      </c>
      <c r="E536" s="17">
        <v>5931969</v>
      </c>
      <c r="F536" s="17">
        <v>-845193</v>
      </c>
      <c r="G536" s="17">
        <v>5086776</v>
      </c>
      <c r="H536" s="1" t="s">
        <v>0</v>
      </c>
      <c r="I536" s="1" t="s">
        <v>2</v>
      </c>
      <c r="J536" s="16" t="s">
        <v>24</v>
      </c>
      <c r="K536" s="2"/>
      <c r="L536" s="14">
        <v>47544024</v>
      </c>
      <c r="M536" t="s">
        <v>1275</v>
      </c>
      <c r="N536" s="12">
        <v>41754150</v>
      </c>
      <c r="O536" t="s">
        <v>1339</v>
      </c>
    </row>
    <row r="537" spans="1:15" x14ac:dyDescent="0.35">
      <c r="A537" s="1" t="s">
        <v>338</v>
      </c>
      <c r="B537" s="1" t="s">
        <v>4</v>
      </c>
      <c r="C537" s="1" t="s">
        <v>337</v>
      </c>
      <c r="D537" s="2">
        <v>45202</v>
      </c>
      <c r="E537" s="3">
        <v>94555090</v>
      </c>
      <c r="F537" s="3">
        <v>-24351173</v>
      </c>
      <c r="G537" s="3">
        <v>70203917</v>
      </c>
      <c r="H537" s="1" t="s">
        <v>0</v>
      </c>
      <c r="I537" s="1" t="s">
        <v>2</v>
      </c>
      <c r="J537" s="1" t="s">
        <v>76</v>
      </c>
      <c r="K537" s="2"/>
      <c r="L537" s="14">
        <v>47544021</v>
      </c>
      <c r="M537" t="s">
        <v>1282</v>
      </c>
      <c r="N537" s="12">
        <v>41754150</v>
      </c>
      <c r="O537" t="s">
        <v>1342</v>
      </c>
    </row>
    <row r="538" spans="1:15" hidden="1" x14ac:dyDescent="0.35">
      <c r="A538" s="1" t="s">
        <v>336</v>
      </c>
      <c r="B538" s="1" t="s">
        <v>4</v>
      </c>
      <c r="C538" s="1" t="s">
        <v>335</v>
      </c>
      <c r="D538" s="2">
        <v>45244</v>
      </c>
      <c r="E538" s="3">
        <v>3149900</v>
      </c>
      <c r="F538" s="3">
        <v>-1549924</v>
      </c>
      <c r="G538" s="3">
        <v>1599976</v>
      </c>
      <c r="H538" s="1" t="s">
        <v>0</v>
      </c>
      <c r="I538" s="1" t="s">
        <v>2</v>
      </c>
      <c r="J538" s="1" t="s">
        <v>56</v>
      </c>
      <c r="K538" s="2"/>
      <c r="L538" s="1">
        <v>47567102</v>
      </c>
      <c r="M538" t="s">
        <v>1273</v>
      </c>
      <c r="N538">
        <v>41756150</v>
      </c>
      <c r="O538" t="s">
        <v>1320</v>
      </c>
    </row>
    <row r="539" spans="1:15" x14ac:dyDescent="0.35">
      <c r="A539" s="21">
        <v>103003</v>
      </c>
      <c r="B539" s="1" t="s">
        <v>4</v>
      </c>
      <c r="C539" s="1" t="s">
        <v>334</v>
      </c>
      <c r="D539" s="2">
        <v>45231</v>
      </c>
      <c r="E539" s="3">
        <v>50000000</v>
      </c>
      <c r="F539" s="3">
        <v>-50000000</v>
      </c>
      <c r="G539" s="3">
        <v>0</v>
      </c>
      <c r="H539" s="1" t="s">
        <v>0</v>
      </c>
      <c r="I539" s="1" t="s">
        <v>2</v>
      </c>
      <c r="J539" s="1" t="s">
        <v>76</v>
      </c>
      <c r="K539" s="2"/>
      <c r="L539" s="14">
        <v>47544034</v>
      </c>
      <c r="M539" t="s">
        <v>1309</v>
      </c>
      <c r="N539" s="12">
        <v>41754150</v>
      </c>
      <c r="O539" t="s">
        <v>1342</v>
      </c>
    </row>
    <row r="540" spans="1:15" x14ac:dyDescent="0.35">
      <c r="A540" s="1" t="s">
        <v>333</v>
      </c>
      <c r="B540" s="1" t="s">
        <v>4</v>
      </c>
      <c r="C540" s="1" t="s">
        <v>332</v>
      </c>
      <c r="D540" s="2">
        <v>45420</v>
      </c>
      <c r="E540" s="3">
        <v>27727000</v>
      </c>
      <c r="F540" s="3">
        <v>-10974570</v>
      </c>
      <c r="G540" s="3">
        <v>16752430</v>
      </c>
      <c r="H540" s="1" t="s">
        <v>0</v>
      </c>
      <c r="I540" s="1" t="s">
        <v>2</v>
      </c>
      <c r="J540" s="1" t="s">
        <v>202</v>
      </c>
      <c r="K540" s="2"/>
      <c r="L540" s="14">
        <v>47544032</v>
      </c>
      <c r="M540" t="s">
        <v>1277</v>
      </c>
      <c r="N540" s="12">
        <v>41754150</v>
      </c>
      <c r="O540" t="s">
        <v>1321</v>
      </c>
    </row>
    <row r="541" spans="1:15" x14ac:dyDescent="0.35">
      <c r="A541" s="1" t="s">
        <v>331</v>
      </c>
      <c r="B541" s="1" t="s">
        <v>4</v>
      </c>
      <c r="C541" s="1" t="s">
        <v>330</v>
      </c>
      <c r="D541" s="2">
        <v>45266</v>
      </c>
      <c r="E541" s="17">
        <v>79176650</v>
      </c>
      <c r="F541" s="17">
        <v>-18801632</v>
      </c>
      <c r="G541" s="17">
        <v>60375018</v>
      </c>
      <c r="H541" s="1" t="s">
        <v>0</v>
      </c>
      <c r="I541" s="1" t="s">
        <v>2</v>
      </c>
      <c r="J541" s="16" t="s">
        <v>76</v>
      </c>
      <c r="K541" s="2"/>
      <c r="L541" s="14">
        <v>47544024</v>
      </c>
      <c r="M541" t="s">
        <v>1275</v>
      </c>
      <c r="N541" s="12">
        <v>41754150</v>
      </c>
      <c r="O541" t="s">
        <v>1338</v>
      </c>
    </row>
    <row r="542" spans="1:15" x14ac:dyDescent="0.35">
      <c r="A542" s="1" t="s">
        <v>329</v>
      </c>
      <c r="B542" s="1" t="s">
        <v>4</v>
      </c>
      <c r="C542" s="1" t="s">
        <v>328</v>
      </c>
      <c r="D542" s="2">
        <v>45349</v>
      </c>
      <c r="E542" s="17">
        <v>8900000</v>
      </c>
      <c r="F542" s="17">
        <v>-1933996</v>
      </c>
      <c r="G542" s="17">
        <v>6966004</v>
      </c>
      <c r="H542" s="1" t="s">
        <v>0</v>
      </c>
      <c r="I542" s="1" t="s">
        <v>2</v>
      </c>
      <c r="J542" s="16" t="s">
        <v>24</v>
      </c>
      <c r="K542" s="2"/>
      <c r="L542" s="14">
        <v>47544024</v>
      </c>
      <c r="M542" t="s">
        <v>1275</v>
      </c>
      <c r="N542" s="12">
        <v>41754150</v>
      </c>
      <c r="O542" t="s">
        <v>1364</v>
      </c>
    </row>
    <row r="543" spans="1:15" hidden="1" x14ac:dyDescent="0.35">
      <c r="A543" s="1" t="s">
        <v>327</v>
      </c>
      <c r="B543" s="1" t="s">
        <v>4</v>
      </c>
      <c r="C543" s="1" t="s">
        <v>326</v>
      </c>
      <c r="D543" s="2">
        <v>45306</v>
      </c>
      <c r="E543" s="3">
        <v>3150000</v>
      </c>
      <c r="F543" s="3">
        <v>-1443025</v>
      </c>
      <c r="G543" s="3">
        <v>1706975</v>
      </c>
      <c r="H543" s="1" t="s">
        <v>0</v>
      </c>
      <c r="I543" s="1" t="s">
        <v>2</v>
      </c>
      <c r="J543" s="1" t="s">
        <v>56</v>
      </c>
      <c r="K543" s="2"/>
      <c r="L543" s="1">
        <v>47511046</v>
      </c>
      <c r="M543" t="s">
        <v>1305</v>
      </c>
      <c r="N543">
        <v>41751150</v>
      </c>
      <c r="O543" t="s">
        <v>1324</v>
      </c>
    </row>
    <row r="544" spans="1:15" x14ac:dyDescent="0.35">
      <c r="A544" s="1" t="s">
        <v>325</v>
      </c>
      <c r="B544" s="1" t="s">
        <v>4</v>
      </c>
      <c r="C544" s="1" t="s">
        <v>324</v>
      </c>
      <c r="D544" s="2">
        <v>45344</v>
      </c>
      <c r="E544" s="3">
        <v>10115000</v>
      </c>
      <c r="F544" s="3">
        <v>-2211838</v>
      </c>
      <c r="G544" s="3">
        <v>7903162</v>
      </c>
      <c r="H544" s="1" t="s">
        <v>0</v>
      </c>
      <c r="I544" s="1" t="s">
        <v>2</v>
      </c>
      <c r="J544" s="1" t="s">
        <v>76</v>
      </c>
      <c r="K544" s="2"/>
      <c r="L544" s="14">
        <v>47544013</v>
      </c>
      <c r="M544" t="s">
        <v>1284</v>
      </c>
      <c r="N544" s="12">
        <v>41754150</v>
      </c>
      <c r="O544" t="s">
        <v>1350</v>
      </c>
    </row>
    <row r="545" spans="1:15" x14ac:dyDescent="0.35">
      <c r="A545" s="1" t="s">
        <v>323</v>
      </c>
      <c r="B545" s="1" t="s">
        <v>4</v>
      </c>
      <c r="C545" s="1" t="s">
        <v>322</v>
      </c>
      <c r="D545" s="2">
        <v>45391</v>
      </c>
      <c r="E545" s="17">
        <v>15948490</v>
      </c>
      <c r="F545" s="17">
        <v>-3282638</v>
      </c>
      <c r="G545" s="17">
        <v>12665852</v>
      </c>
      <c r="H545" s="1" t="s">
        <v>0</v>
      </c>
      <c r="I545" s="1" t="s">
        <v>2</v>
      </c>
      <c r="J545" s="16" t="s">
        <v>24</v>
      </c>
      <c r="K545" s="2"/>
      <c r="L545" s="14">
        <v>47544024</v>
      </c>
      <c r="M545" t="s">
        <v>1275</v>
      </c>
      <c r="N545" s="12">
        <v>41754150</v>
      </c>
      <c r="O545" t="s">
        <v>1339</v>
      </c>
    </row>
    <row r="546" spans="1:15" x14ac:dyDescent="0.35">
      <c r="A546" s="1" t="s">
        <v>321</v>
      </c>
      <c r="B546" s="1" t="s">
        <v>4</v>
      </c>
      <c r="C546" s="1" t="s">
        <v>320</v>
      </c>
      <c r="D546" s="2">
        <v>45397</v>
      </c>
      <c r="E546" s="3">
        <v>14981560</v>
      </c>
      <c r="F546" s="3">
        <v>-6118115</v>
      </c>
      <c r="G546" s="3">
        <v>8863445</v>
      </c>
      <c r="H546" s="1" t="s">
        <v>0</v>
      </c>
      <c r="I546" s="1" t="s">
        <v>2</v>
      </c>
      <c r="J546" s="1" t="s">
        <v>202</v>
      </c>
      <c r="K546" s="2"/>
      <c r="L546" s="14">
        <v>47544032</v>
      </c>
      <c r="M546" t="s">
        <v>1277</v>
      </c>
      <c r="N546" s="12">
        <v>41754150</v>
      </c>
      <c r="O546" t="s">
        <v>1321</v>
      </c>
    </row>
    <row r="547" spans="1:15" x14ac:dyDescent="0.35">
      <c r="A547" s="1" t="s">
        <v>319</v>
      </c>
      <c r="B547" s="1" t="s">
        <v>4</v>
      </c>
      <c r="C547" s="1" t="s">
        <v>318</v>
      </c>
      <c r="D547" s="2">
        <v>45364</v>
      </c>
      <c r="E547" s="3">
        <v>9102667</v>
      </c>
      <c r="F547" s="3">
        <v>-3881461</v>
      </c>
      <c r="G547" s="3">
        <v>5221206</v>
      </c>
      <c r="H547" s="1" t="s">
        <v>0</v>
      </c>
      <c r="I547" s="1" t="s">
        <v>2</v>
      </c>
      <c r="J547" s="1" t="s">
        <v>202</v>
      </c>
      <c r="K547" s="2"/>
      <c r="L547" s="14">
        <v>47544032</v>
      </c>
      <c r="M547" t="s">
        <v>1277</v>
      </c>
      <c r="N547" s="12">
        <v>41754150</v>
      </c>
      <c r="O547" t="s">
        <v>1321</v>
      </c>
    </row>
    <row r="548" spans="1:15" x14ac:dyDescent="0.35">
      <c r="A548" s="1" t="s">
        <v>317</v>
      </c>
      <c r="B548" s="1" t="s">
        <v>4</v>
      </c>
      <c r="C548" s="1" t="s">
        <v>315</v>
      </c>
      <c r="D548" s="2">
        <v>45345</v>
      </c>
      <c r="E548" s="3">
        <v>51869155</v>
      </c>
      <c r="F548" s="3">
        <v>-11328008</v>
      </c>
      <c r="G548" s="3">
        <v>40541147</v>
      </c>
      <c r="H548" s="1" t="s">
        <v>0</v>
      </c>
      <c r="I548" s="1" t="s">
        <v>2</v>
      </c>
      <c r="J548" s="1" t="s">
        <v>76</v>
      </c>
      <c r="K548" s="2"/>
      <c r="L548" s="14">
        <v>47544013</v>
      </c>
      <c r="M548" t="s">
        <v>1284</v>
      </c>
      <c r="N548" s="12">
        <v>41754150</v>
      </c>
      <c r="O548" t="s">
        <v>1357</v>
      </c>
    </row>
    <row r="549" spans="1:15" x14ac:dyDescent="0.35">
      <c r="A549" s="1" t="s">
        <v>316</v>
      </c>
      <c r="B549" s="1" t="s">
        <v>4</v>
      </c>
      <c r="C549" s="1" t="s">
        <v>315</v>
      </c>
      <c r="D549" s="2">
        <v>45345</v>
      </c>
      <c r="E549" s="3">
        <v>51869155</v>
      </c>
      <c r="F549" s="3">
        <v>-11328008</v>
      </c>
      <c r="G549" s="3">
        <v>40541147</v>
      </c>
      <c r="H549" s="1" t="s">
        <v>0</v>
      </c>
      <c r="I549" s="1" t="s">
        <v>2</v>
      </c>
      <c r="J549" s="1" t="s">
        <v>76</v>
      </c>
      <c r="K549" s="2"/>
      <c r="L549" s="14">
        <v>47544013</v>
      </c>
      <c r="M549" t="s">
        <v>1284</v>
      </c>
      <c r="N549" s="12">
        <v>41754150</v>
      </c>
      <c r="O549" t="s">
        <v>1357</v>
      </c>
    </row>
    <row r="550" spans="1:15" hidden="1" x14ac:dyDescent="0.35">
      <c r="A550" s="1" t="s">
        <v>314</v>
      </c>
      <c r="B550" s="1" t="s">
        <v>4</v>
      </c>
      <c r="C550" s="1" t="s">
        <v>313</v>
      </c>
      <c r="D550" s="2">
        <v>45349</v>
      </c>
      <c r="E550" s="3">
        <v>3567501</v>
      </c>
      <c r="F550" s="3">
        <v>-1550456</v>
      </c>
      <c r="G550" s="3">
        <v>2017045</v>
      </c>
      <c r="H550" s="1" t="s">
        <v>0</v>
      </c>
      <c r="I550" s="1" t="s">
        <v>2</v>
      </c>
      <c r="J550" s="1" t="s">
        <v>56</v>
      </c>
      <c r="K550" s="2"/>
      <c r="L550" s="1">
        <v>47544010</v>
      </c>
      <c r="M550" t="s">
        <v>1296</v>
      </c>
      <c r="N550">
        <v>41754150</v>
      </c>
      <c r="O550" t="s">
        <v>1314</v>
      </c>
    </row>
    <row r="551" spans="1:15" hidden="1" x14ac:dyDescent="0.35">
      <c r="A551" s="1" t="s">
        <v>312</v>
      </c>
      <c r="B551" s="1" t="s">
        <v>4</v>
      </c>
      <c r="C551" s="1" t="s">
        <v>311</v>
      </c>
      <c r="D551" s="2">
        <v>45349</v>
      </c>
      <c r="E551" s="3">
        <v>3567501</v>
      </c>
      <c r="F551" s="3">
        <v>-1550456</v>
      </c>
      <c r="G551" s="3">
        <v>2017045</v>
      </c>
      <c r="H551" s="1" t="s">
        <v>0</v>
      </c>
      <c r="I551" s="1" t="s">
        <v>2</v>
      </c>
      <c r="J551" s="1" t="s">
        <v>56</v>
      </c>
      <c r="K551" s="2"/>
      <c r="L551" s="1">
        <v>47567081</v>
      </c>
      <c r="M551" t="s">
        <v>1274</v>
      </c>
      <c r="N551">
        <v>41756150</v>
      </c>
      <c r="O551" t="s">
        <v>1316</v>
      </c>
    </row>
    <row r="552" spans="1:15" hidden="1" x14ac:dyDescent="0.35">
      <c r="A552" s="1" t="s">
        <v>310</v>
      </c>
      <c r="B552" s="1" t="s">
        <v>4</v>
      </c>
      <c r="C552" s="1" t="s">
        <v>309</v>
      </c>
      <c r="D552" s="2">
        <v>45349</v>
      </c>
      <c r="E552" s="3">
        <v>3567501</v>
      </c>
      <c r="F552" s="3">
        <v>-1550456</v>
      </c>
      <c r="G552" s="3">
        <v>2017045</v>
      </c>
      <c r="H552" s="1" t="s">
        <v>0</v>
      </c>
      <c r="I552" s="1" t="s">
        <v>2</v>
      </c>
      <c r="J552" s="1" t="s">
        <v>56</v>
      </c>
      <c r="K552" s="2"/>
      <c r="L552" s="1">
        <v>47567081</v>
      </c>
      <c r="M552" t="s">
        <v>1274</v>
      </c>
      <c r="N552">
        <v>41756150</v>
      </c>
      <c r="O552" t="s">
        <v>1316</v>
      </c>
    </row>
    <row r="553" spans="1:15" hidden="1" x14ac:dyDescent="0.35">
      <c r="A553" s="1" t="s">
        <v>308</v>
      </c>
      <c r="B553" s="1" t="s">
        <v>4</v>
      </c>
      <c r="C553" s="1" t="s">
        <v>307</v>
      </c>
      <c r="D553" s="2">
        <v>45349</v>
      </c>
      <c r="E553" s="3">
        <v>3567501</v>
      </c>
      <c r="F553" s="3">
        <v>-1550456</v>
      </c>
      <c r="G553" s="3">
        <v>2017045</v>
      </c>
      <c r="H553" s="1" t="s">
        <v>0</v>
      </c>
      <c r="I553" s="1" t="s">
        <v>2</v>
      </c>
      <c r="J553" s="1" t="s">
        <v>56</v>
      </c>
      <c r="K553" s="2"/>
      <c r="L553" s="1">
        <v>47511045</v>
      </c>
      <c r="M553" t="s">
        <v>1304</v>
      </c>
      <c r="N553">
        <v>41751150</v>
      </c>
      <c r="O553" t="s">
        <v>1324</v>
      </c>
    </row>
    <row r="554" spans="1:15" x14ac:dyDescent="0.35">
      <c r="A554" s="1" t="s">
        <v>306</v>
      </c>
      <c r="B554" s="1" t="s">
        <v>4</v>
      </c>
      <c r="C554" s="1" t="s">
        <v>305</v>
      </c>
      <c r="D554" s="2">
        <v>45406</v>
      </c>
      <c r="E554" s="3">
        <v>4934930</v>
      </c>
      <c r="F554" s="3">
        <v>-4934930</v>
      </c>
      <c r="G554" s="3">
        <v>0</v>
      </c>
      <c r="H554" s="1" t="s">
        <v>0</v>
      </c>
      <c r="I554" s="1" t="s">
        <v>2</v>
      </c>
      <c r="J554" s="1" t="s">
        <v>300</v>
      </c>
      <c r="K554" s="2"/>
      <c r="L554" s="14">
        <v>47544018</v>
      </c>
      <c r="M554" t="s">
        <v>1281</v>
      </c>
      <c r="N554" s="12">
        <v>41754150</v>
      </c>
      <c r="O554" t="s">
        <v>1347</v>
      </c>
    </row>
    <row r="555" spans="1:15" x14ac:dyDescent="0.35">
      <c r="A555" s="1" t="s">
        <v>304</v>
      </c>
      <c r="B555" s="1" t="s">
        <v>4</v>
      </c>
      <c r="C555" s="1" t="s">
        <v>303</v>
      </c>
      <c r="D555" s="2">
        <v>45373</v>
      </c>
      <c r="E555" s="17">
        <v>24965010</v>
      </c>
      <c r="F555" s="17">
        <v>-5261265</v>
      </c>
      <c r="G555" s="17">
        <v>19703745</v>
      </c>
      <c r="H555" s="1" t="s">
        <v>0</v>
      </c>
      <c r="I555" s="1" t="s">
        <v>2</v>
      </c>
      <c r="J555" s="16" t="s">
        <v>76</v>
      </c>
      <c r="K555" s="2"/>
      <c r="L555" s="14">
        <v>47544024</v>
      </c>
      <c r="M555" t="s">
        <v>1275</v>
      </c>
      <c r="N555" s="12">
        <v>41754150</v>
      </c>
      <c r="O555" t="s">
        <v>1346</v>
      </c>
    </row>
    <row r="556" spans="1:15" x14ac:dyDescent="0.35">
      <c r="A556" s="1" t="s">
        <v>302</v>
      </c>
      <c r="B556" s="1" t="s">
        <v>4</v>
      </c>
      <c r="C556" s="1" t="s">
        <v>301</v>
      </c>
      <c r="D556" s="2">
        <v>45366</v>
      </c>
      <c r="E556" s="17">
        <v>8925000</v>
      </c>
      <c r="F556" s="17">
        <v>-8925000</v>
      </c>
      <c r="G556" s="17">
        <v>0</v>
      </c>
      <c r="H556" s="1" t="s">
        <v>0</v>
      </c>
      <c r="I556" s="1" t="s">
        <v>2</v>
      </c>
      <c r="J556" s="16" t="s">
        <v>300</v>
      </c>
      <c r="K556" s="2"/>
      <c r="L556" s="14">
        <v>47544024</v>
      </c>
      <c r="M556" t="s">
        <v>1275</v>
      </c>
      <c r="N556" s="12">
        <v>41754150</v>
      </c>
      <c r="O556" t="s">
        <v>1346</v>
      </c>
    </row>
    <row r="557" spans="1:15" x14ac:dyDescent="0.35">
      <c r="A557" s="1" t="s">
        <v>299</v>
      </c>
      <c r="B557" s="1" t="s">
        <v>4</v>
      </c>
      <c r="C557" s="1" t="s">
        <v>297</v>
      </c>
      <c r="D557" s="2">
        <v>45372</v>
      </c>
      <c r="E557" s="3">
        <v>6675900</v>
      </c>
      <c r="F557" s="3">
        <v>-2817480</v>
      </c>
      <c r="G557" s="3">
        <v>3858420</v>
      </c>
      <c r="H557" s="1" t="s">
        <v>0</v>
      </c>
      <c r="I557" s="1" t="s">
        <v>2</v>
      </c>
      <c r="J557" s="1" t="s">
        <v>202</v>
      </c>
      <c r="K557" s="2"/>
      <c r="L557" s="14">
        <v>47567064</v>
      </c>
      <c r="M557" t="s">
        <v>1271</v>
      </c>
      <c r="N557" s="12">
        <v>41756150</v>
      </c>
      <c r="O557" t="s">
        <v>1321</v>
      </c>
    </row>
    <row r="558" spans="1:15" x14ac:dyDescent="0.35">
      <c r="A558" s="1" t="s">
        <v>298</v>
      </c>
      <c r="B558" s="1" t="s">
        <v>4</v>
      </c>
      <c r="C558" s="1" t="s">
        <v>297</v>
      </c>
      <c r="D558" s="2">
        <v>45372</v>
      </c>
      <c r="E558" s="3">
        <v>6675900</v>
      </c>
      <c r="F558" s="3">
        <v>-2817480</v>
      </c>
      <c r="G558" s="3">
        <v>3858420</v>
      </c>
      <c r="H558" s="1" t="s">
        <v>0</v>
      </c>
      <c r="I558" s="1" t="s">
        <v>2</v>
      </c>
      <c r="J558" s="1" t="s">
        <v>202</v>
      </c>
      <c r="K558" s="2"/>
      <c r="L558" s="14">
        <v>47567064</v>
      </c>
      <c r="M558" t="s">
        <v>1271</v>
      </c>
      <c r="N558" s="12">
        <v>41756150</v>
      </c>
      <c r="O558" t="s">
        <v>1321</v>
      </c>
    </row>
    <row r="559" spans="1:15" hidden="1" x14ac:dyDescent="0.35">
      <c r="A559" s="1" t="s">
        <v>296</v>
      </c>
      <c r="B559" s="1" t="s">
        <v>4</v>
      </c>
      <c r="C559" s="1" t="s">
        <v>292</v>
      </c>
      <c r="D559" s="2">
        <v>45383</v>
      </c>
      <c r="E559" s="3">
        <v>3567501</v>
      </c>
      <c r="F559" s="3">
        <v>-1484175</v>
      </c>
      <c r="G559" s="3">
        <v>2083326</v>
      </c>
      <c r="H559" s="1" t="s">
        <v>0</v>
      </c>
      <c r="I559" s="1" t="s">
        <v>2</v>
      </c>
      <c r="J559" s="1" t="s">
        <v>56</v>
      </c>
      <c r="K559" s="2"/>
      <c r="L559" s="1">
        <v>47567102</v>
      </c>
      <c r="M559" t="s">
        <v>1273</v>
      </c>
      <c r="N559">
        <v>41756150</v>
      </c>
      <c r="O559" t="s">
        <v>1320</v>
      </c>
    </row>
    <row r="560" spans="1:15" hidden="1" x14ac:dyDescent="0.35">
      <c r="A560" s="1" t="s">
        <v>295</v>
      </c>
      <c r="B560" s="1" t="s">
        <v>4</v>
      </c>
      <c r="C560" s="1" t="s">
        <v>292</v>
      </c>
      <c r="D560" s="2">
        <v>45383</v>
      </c>
      <c r="E560" s="3">
        <v>3567501</v>
      </c>
      <c r="F560" s="3">
        <v>-1484175</v>
      </c>
      <c r="G560" s="3">
        <v>2083326</v>
      </c>
      <c r="H560" s="1" t="s">
        <v>0</v>
      </c>
      <c r="I560" s="1" t="s">
        <v>2</v>
      </c>
      <c r="J560" s="1" t="s">
        <v>56</v>
      </c>
      <c r="K560" s="2"/>
      <c r="L560" s="1">
        <v>47500021</v>
      </c>
      <c r="M560" t="s">
        <v>1294</v>
      </c>
      <c r="N560">
        <v>41750150</v>
      </c>
      <c r="O560" t="s">
        <v>1314</v>
      </c>
    </row>
    <row r="561" spans="1:15" hidden="1" x14ac:dyDescent="0.35">
      <c r="A561" s="1" t="s">
        <v>294</v>
      </c>
      <c r="B561" s="1" t="s">
        <v>4</v>
      </c>
      <c r="C561" s="1" t="s">
        <v>292</v>
      </c>
      <c r="D561" s="2">
        <v>45383</v>
      </c>
      <c r="E561" s="3">
        <v>3567501</v>
      </c>
      <c r="F561" s="3">
        <v>-1484175</v>
      </c>
      <c r="G561" s="3">
        <v>2083326</v>
      </c>
      <c r="H561" s="1" t="s">
        <v>0</v>
      </c>
      <c r="I561" s="1" t="s">
        <v>2</v>
      </c>
      <c r="J561" s="1" t="s">
        <v>56</v>
      </c>
      <c r="K561" s="2"/>
      <c r="L561" s="1">
        <v>47511046</v>
      </c>
      <c r="M561" t="s">
        <v>1305</v>
      </c>
      <c r="N561">
        <v>41751150</v>
      </c>
      <c r="O561" t="s">
        <v>1324</v>
      </c>
    </row>
    <row r="562" spans="1:15" hidden="1" x14ac:dyDescent="0.35">
      <c r="A562" s="1" t="s">
        <v>293</v>
      </c>
      <c r="B562" s="1" t="s">
        <v>4</v>
      </c>
      <c r="C562" s="1" t="s">
        <v>292</v>
      </c>
      <c r="D562" s="2">
        <v>45383</v>
      </c>
      <c r="E562" s="3">
        <v>3567501</v>
      </c>
      <c r="F562" s="3">
        <v>-1484175</v>
      </c>
      <c r="G562" s="3">
        <v>2083326</v>
      </c>
      <c r="H562" s="1" t="s">
        <v>0</v>
      </c>
      <c r="I562" s="1" t="s">
        <v>2</v>
      </c>
      <c r="J562" s="1" t="s">
        <v>56</v>
      </c>
      <c r="K562" s="2"/>
      <c r="L562" s="1">
        <v>47567041</v>
      </c>
      <c r="M562" t="s">
        <v>1291</v>
      </c>
      <c r="N562">
        <v>41756150</v>
      </c>
      <c r="O562" t="s">
        <v>1319</v>
      </c>
    </row>
    <row r="563" spans="1:15" x14ac:dyDescent="0.35">
      <c r="A563" s="1" t="s">
        <v>291</v>
      </c>
      <c r="B563" s="1" t="s">
        <v>4</v>
      </c>
      <c r="C563" s="1" t="s">
        <v>290</v>
      </c>
      <c r="D563" s="2">
        <v>45632</v>
      </c>
      <c r="E563" s="3">
        <v>150658622</v>
      </c>
      <c r="F563" s="3">
        <v>-21089275</v>
      </c>
      <c r="G563" s="3">
        <v>129569347</v>
      </c>
      <c r="H563" s="1" t="s">
        <v>0</v>
      </c>
      <c r="I563" s="1" t="s">
        <v>2</v>
      </c>
      <c r="J563" s="1" t="s">
        <v>76</v>
      </c>
      <c r="K563" s="2"/>
      <c r="L563" s="14">
        <v>47544015</v>
      </c>
      <c r="M563" t="s">
        <v>1280</v>
      </c>
      <c r="N563" s="12">
        <v>41754150</v>
      </c>
      <c r="O563" t="s">
        <v>1346</v>
      </c>
    </row>
    <row r="564" spans="1:15" x14ac:dyDescent="0.35">
      <c r="A564" s="1" t="s">
        <v>289</v>
      </c>
      <c r="B564" s="1" t="s">
        <v>4</v>
      </c>
      <c r="C564" s="1" t="s">
        <v>287</v>
      </c>
      <c r="D564" s="2">
        <v>45440</v>
      </c>
      <c r="E564" s="3">
        <v>34525536</v>
      </c>
      <c r="F564" s="3">
        <v>-13288157</v>
      </c>
      <c r="G564" s="3">
        <v>21237379</v>
      </c>
      <c r="H564" s="1" t="s">
        <v>0</v>
      </c>
      <c r="I564" s="1" t="s">
        <v>2</v>
      </c>
      <c r="J564" s="1" t="s">
        <v>202</v>
      </c>
      <c r="K564" s="2"/>
      <c r="L564" s="14">
        <v>47567021</v>
      </c>
      <c r="M564" t="s">
        <v>1285</v>
      </c>
      <c r="N564" s="12">
        <v>41756150</v>
      </c>
      <c r="O564" t="s">
        <v>1322</v>
      </c>
    </row>
    <row r="565" spans="1:15" x14ac:dyDescent="0.35">
      <c r="A565" s="1" t="s">
        <v>288</v>
      </c>
      <c r="B565" s="1" t="s">
        <v>4</v>
      </c>
      <c r="C565" s="1" t="s">
        <v>287</v>
      </c>
      <c r="D565" s="2">
        <v>45440</v>
      </c>
      <c r="E565" s="3">
        <v>34525537</v>
      </c>
      <c r="F565" s="3">
        <v>-13288157</v>
      </c>
      <c r="G565" s="3">
        <v>21237380</v>
      </c>
      <c r="H565" s="1" t="s">
        <v>0</v>
      </c>
      <c r="I565" s="1" t="s">
        <v>2</v>
      </c>
      <c r="J565" s="1" t="s">
        <v>202</v>
      </c>
      <c r="K565" s="2"/>
      <c r="L565" s="14">
        <v>47567021</v>
      </c>
      <c r="M565" t="s">
        <v>1285</v>
      </c>
      <c r="N565" s="12">
        <v>41756150</v>
      </c>
      <c r="O565" t="s">
        <v>1322</v>
      </c>
    </row>
    <row r="566" spans="1:15" hidden="1" x14ac:dyDescent="0.35">
      <c r="A566" s="1" t="s">
        <v>286</v>
      </c>
      <c r="B566" s="1" t="s">
        <v>4</v>
      </c>
      <c r="C566" s="1" t="s">
        <v>284</v>
      </c>
      <c r="D566" s="2">
        <v>45383</v>
      </c>
      <c r="E566" s="3">
        <v>8890490</v>
      </c>
      <c r="F566" s="3">
        <v>-3698681</v>
      </c>
      <c r="G566" s="3">
        <v>5191809</v>
      </c>
      <c r="H566" s="1" t="s">
        <v>0</v>
      </c>
      <c r="I566" s="1" t="s">
        <v>2</v>
      </c>
      <c r="J566" s="1" t="s">
        <v>56</v>
      </c>
      <c r="K566" s="2"/>
      <c r="L566" s="1">
        <v>47567063</v>
      </c>
      <c r="M566" t="s">
        <v>1293</v>
      </c>
      <c r="N566">
        <v>41756150</v>
      </c>
      <c r="O566" t="s">
        <v>1323</v>
      </c>
    </row>
    <row r="567" spans="1:15" hidden="1" x14ac:dyDescent="0.35">
      <c r="A567" s="1" t="s">
        <v>285</v>
      </c>
      <c r="B567" s="1" t="s">
        <v>4</v>
      </c>
      <c r="C567" s="1" t="s">
        <v>284</v>
      </c>
      <c r="D567" s="2">
        <v>45383</v>
      </c>
      <c r="E567" s="3">
        <v>8890490</v>
      </c>
      <c r="F567" s="3">
        <v>-3698681</v>
      </c>
      <c r="G567" s="3">
        <v>5191809</v>
      </c>
      <c r="H567" s="1" t="s">
        <v>0</v>
      </c>
      <c r="I567" s="1" t="s">
        <v>2</v>
      </c>
      <c r="J567" s="1" t="s">
        <v>56</v>
      </c>
      <c r="K567" s="2"/>
      <c r="L567" s="1">
        <v>47567063</v>
      </c>
      <c r="M567" t="s">
        <v>1293</v>
      </c>
      <c r="N567">
        <v>41756150</v>
      </c>
      <c r="O567" t="s">
        <v>1323</v>
      </c>
    </row>
    <row r="568" spans="1:15" hidden="1" x14ac:dyDescent="0.35">
      <c r="A568" s="1" t="s">
        <v>283</v>
      </c>
      <c r="B568" s="1" t="s">
        <v>4</v>
      </c>
      <c r="C568" s="1" t="s">
        <v>282</v>
      </c>
      <c r="D568" s="2">
        <v>45383</v>
      </c>
      <c r="E568" s="3">
        <v>3980550</v>
      </c>
      <c r="F568" s="3">
        <v>-1656015</v>
      </c>
      <c r="G568" s="3">
        <v>2324535</v>
      </c>
      <c r="H568" s="1" t="s">
        <v>0</v>
      </c>
      <c r="I568" s="1" t="s">
        <v>2</v>
      </c>
      <c r="J568" s="1" t="s">
        <v>56</v>
      </c>
      <c r="K568" s="2"/>
      <c r="L568" s="1">
        <v>47567062</v>
      </c>
      <c r="M568" t="s">
        <v>1292</v>
      </c>
      <c r="N568">
        <v>41756150</v>
      </c>
      <c r="O568" t="s">
        <v>1323</v>
      </c>
    </row>
    <row r="569" spans="1:15" x14ac:dyDescent="0.35">
      <c r="A569" s="1" t="s">
        <v>281</v>
      </c>
      <c r="B569" s="1" t="s">
        <v>4</v>
      </c>
      <c r="C569" s="1" t="s">
        <v>280</v>
      </c>
      <c r="D569" s="2">
        <v>45533</v>
      </c>
      <c r="E569" s="3">
        <v>145656000</v>
      </c>
      <c r="F569" s="3">
        <v>-24328880</v>
      </c>
      <c r="G569" s="3">
        <v>121327120</v>
      </c>
      <c r="H569" s="1" t="s">
        <v>0</v>
      </c>
      <c r="I569" s="1" t="s">
        <v>2</v>
      </c>
      <c r="J569" s="1" t="s">
        <v>76</v>
      </c>
      <c r="K569" s="2"/>
      <c r="L569" s="14">
        <v>47544026</v>
      </c>
      <c r="M569" t="s">
        <v>1286</v>
      </c>
      <c r="N569" s="12">
        <v>41754150</v>
      </c>
      <c r="O569" t="s">
        <v>1347</v>
      </c>
    </row>
    <row r="570" spans="1:15" x14ac:dyDescent="0.35">
      <c r="A570" s="1" t="s">
        <v>279</v>
      </c>
      <c r="B570" s="1" t="s">
        <v>4</v>
      </c>
      <c r="C570" s="1" t="s">
        <v>278</v>
      </c>
      <c r="D570" s="2">
        <v>45624</v>
      </c>
      <c r="E570" s="3">
        <v>221118296</v>
      </c>
      <c r="F570" s="3">
        <v>-15717788</v>
      </c>
      <c r="G570" s="3">
        <v>205400508</v>
      </c>
      <c r="H570" s="1" t="s">
        <v>0</v>
      </c>
      <c r="I570" s="1" t="s">
        <v>2</v>
      </c>
      <c r="J570" s="1" t="s">
        <v>76</v>
      </c>
      <c r="K570" s="2"/>
      <c r="L570" s="14">
        <v>47544015</v>
      </c>
      <c r="M570" t="s">
        <v>1280</v>
      </c>
      <c r="N570" s="12">
        <v>41754150</v>
      </c>
      <c r="O570" t="s">
        <v>1346</v>
      </c>
    </row>
    <row r="571" spans="1:15" x14ac:dyDescent="0.35">
      <c r="A571" s="1" t="s">
        <v>277</v>
      </c>
      <c r="B571" s="1" t="s">
        <v>4</v>
      </c>
      <c r="C571" s="1" t="s">
        <v>276</v>
      </c>
      <c r="D571" s="2">
        <v>45451</v>
      </c>
      <c r="E571" s="17">
        <v>11007500</v>
      </c>
      <c r="F571" s="17">
        <v>-2085195</v>
      </c>
      <c r="G571" s="17">
        <v>8922305</v>
      </c>
      <c r="H571" s="1" t="s">
        <v>0</v>
      </c>
      <c r="I571" s="1" t="s">
        <v>2</v>
      </c>
      <c r="J571" s="16" t="s">
        <v>76</v>
      </c>
      <c r="K571" s="2"/>
      <c r="L571" s="14">
        <v>47544024</v>
      </c>
      <c r="M571" t="s">
        <v>1275</v>
      </c>
      <c r="N571" s="12">
        <v>41754150</v>
      </c>
      <c r="O571" t="s">
        <v>1339</v>
      </c>
    </row>
    <row r="572" spans="1:15" hidden="1" x14ac:dyDescent="0.35">
      <c r="A572" s="1" t="s">
        <v>275</v>
      </c>
      <c r="B572" s="1" t="s">
        <v>4</v>
      </c>
      <c r="C572" s="1" t="s">
        <v>274</v>
      </c>
      <c r="D572" s="2">
        <v>45411</v>
      </c>
      <c r="E572" s="3">
        <v>7695000</v>
      </c>
      <c r="F572" s="3">
        <v>-3083588</v>
      </c>
      <c r="G572" s="3">
        <v>4611412</v>
      </c>
      <c r="H572" s="1" t="s">
        <v>0</v>
      </c>
      <c r="I572" s="1" t="s">
        <v>2</v>
      </c>
      <c r="J572" s="1" t="s">
        <v>273</v>
      </c>
      <c r="K572" s="2"/>
      <c r="L572" s="1">
        <v>47567063</v>
      </c>
      <c r="M572" t="s">
        <v>1293</v>
      </c>
      <c r="N572">
        <v>41756150</v>
      </c>
      <c r="O572" t="s">
        <v>1323</v>
      </c>
    </row>
    <row r="573" spans="1:15" x14ac:dyDescent="0.35">
      <c r="A573" s="1" t="s">
        <v>272</v>
      </c>
      <c r="B573" s="1" t="s">
        <v>4</v>
      </c>
      <c r="C573" s="13" t="s">
        <v>270</v>
      </c>
      <c r="D573" s="2">
        <v>45615</v>
      </c>
      <c r="E573" s="3">
        <v>35772891</v>
      </c>
      <c r="F573" s="3">
        <v>-5173667</v>
      </c>
      <c r="G573" s="3">
        <v>30599224</v>
      </c>
      <c r="H573" s="1" t="s">
        <v>0</v>
      </c>
      <c r="I573" s="1" t="s">
        <v>2</v>
      </c>
      <c r="J573" s="1" t="s">
        <v>24</v>
      </c>
      <c r="K573" s="2"/>
      <c r="L573" s="14">
        <v>47544021</v>
      </c>
      <c r="M573" t="s">
        <v>1282</v>
      </c>
      <c r="N573" s="12">
        <v>41754150</v>
      </c>
      <c r="O573" t="s">
        <v>1352</v>
      </c>
    </row>
    <row r="574" spans="1:15" x14ac:dyDescent="0.35">
      <c r="A574" s="1" t="s">
        <v>271</v>
      </c>
      <c r="B574" s="1" t="s">
        <v>4</v>
      </c>
      <c r="C574" s="13" t="s">
        <v>270</v>
      </c>
      <c r="D574" s="2">
        <v>45615</v>
      </c>
      <c r="E574" s="3">
        <v>35772893</v>
      </c>
      <c r="F574" s="3">
        <v>-5173667</v>
      </c>
      <c r="G574" s="3">
        <v>30599226</v>
      </c>
      <c r="H574" s="1" t="s">
        <v>0</v>
      </c>
      <c r="I574" s="1" t="s">
        <v>2</v>
      </c>
      <c r="J574" s="1" t="s">
        <v>24</v>
      </c>
      <c r="K574" s="2"/>
      <c r="L574" s="14">
        <v>47544021</v>
      </c>
      <c r="M574" t="s">
        <v>1282</v>
      </c>
      <c r="N574" s="12">
        <v>41754150</v>
      </c>
      <c r="O574" t="s">
        <v>1352</v>
      </c>
    </row>
    <row r="575" spans="1:15" x14ac:dyDescent="0.35">
      <c r="A575" s="1" t="s">
        <v>269</v>
      </c>
      <c r="B575" s="1" t="s">
        <v>4</v>
      </c>
      <c r="C575" s="1" t="s">
        <v>268</v>
      </c>
      <c r="D575" s="2">
        <v>45615</v>
      </c>
      <c r="E575" s="3">
        <v>43074074</v>
      </c>
      <c r="F575" s="3">
        <v>-6229603</v>
      </c>
      <c r="G575" s="3">
        <v>36844471</v>
      </c>
      <c r="H575" s="1" t="s">
        <v>0</v>
      </c>
      <c r="I575" s="1" t="s">
        <v>2</v>
      </c>
      <c r="J575" s="1" t="s">
        <v>24</v>
      </c>
      <c r="K575" s="2"/>
      <c r="L575" s="14">
        <v>47544021</v>
      </c>
      <c r="M575" t="s">
        <v>1282</v>
      </c>
      <c r="N575" s="12">
        <v>41754150</v>
      </c>
      <c r="O575" t="s">
        <v>1352</v>
      </c>
    </row>
    <row r="576" spans="1:15" x14ac:dyDescent="0.35">
      <c r="A576" s="1" t="s">
        <v>267</v>
      </c>
      <c r="B576" s="1" t="s">
        <v>4</v>
      </c>
      <c r="C576" s="1" t="s">
        <v>266</v>
      </c>
      <c r="D576" s="2">
        <v>45615</v>
      </c>
      <c r="E576" s="3">
        <v>57432097</v>
      </c>
      <c r="F576" s="3">
        <v>-8306138</v>
      </c>
      <c r="G576" s="3">
        <v>49125959</v>
      </c>
      <c r="H576" s="1" t="s">
        <v>0</v>
      </c>
      <c r="I576" s="1" t="s">
        <v>2</v>
      </c>
      <c r="J576" s="1" t="s">
        <v>24</v>
      </c>
      <c r="K576" s="2"/>
      <c r="L576" s="14">
        <v>47544021</v>
      </c>
      <c r="M576" t="s">
        <v>1282</v>
      </c>
      <c r="N576" s="12">
        <v>41754150</v>
      </c>
      <c r="O576" t="s">
        <v>1352</v>
      </c>
    </row>
    <row r="577" spans="1:15" x14ac:dyDescent="0.35">
      <c r="A577" s="1" t="s">
        <v>265</v>
      </c>
      <c r="B577" s="1" t="s">
        <v>4</v>
      </c>
      <c r="C577" s="1" t="s">
        <v>264</v>
      </c>
      <c r="D577" s="2">
        <v>45615</v>
      </c>
      <c r="E577" s="3">
        <v>81157394</v>
      </c>
      <c r="F577" s="3">
        <v>-3540196</v>
      </c>
      <c r="G577" s="3">
        <v>77617198</v>
      </c>
      <c r="H577" s="1" t="s">
        <v>0</v>
      </c>
      <c r="I577" s="1" t="s">
        <v>2</v>
      </c>
      <c r="J577" s="1" t="s">
        <v>76</v>
      </c>
      <c r="K577" s="2"/>
      <c r="L577" s="14">
        <v>47544032</v>
      </c>
      <c r="M577" t="s">
        <v>1277</v>
      </c>
      <c r="N577" s="12">
        <v>41754150</v>
      </c>
      <c r="O577" t="s">
        <v>1321</v>
      </c>
    </row>
    <row r="578" spans="1:15" hidden="1" x14ac:dyDescent="0.35">
      <c r="A578" s="1" t="s">
        <v>263</v>
      </c>
      <c r="B578" s="1" t="s">
        <v>4</v>
      </c>
      <c r="C578" s="1" t="s">
        <v>260</v>
      </c>
      <c r="D578" s="2">
        <v>45457</v>
      </c>
      <c r="E578" s="3">
        <v>9353400</v>
      </c>
      <c r="F578" s="3">
        <v>-3513039</v>
      </c>
      <c r="G578" s="3">
        <v>5840361</v>
      </c>
      <c r="H578" s="1" t="s">
        <v>0</v>
      </c>
      <c r="I578" s="1" t="s">
        <v>2</v>
      </c>
      <c r="J578" s="1" t="s">
        <v>56</v>
      </c>
      <c r="K578" s="2"/>
      <c r="L578" s="1">
        <v>47567063</v>
      </c>
      <c r="M578" t="s">
        <v>1293</v>
      </c>
      <c r="N578">
        <v>41756150</v>
      </c>
      <c r="O578" t="s">
        <v>1323</v>
      </c>
    </row>
    <row r="579" spans="1:15" hidden="1" x14ac:dyDescent="0.35">
      <c r="A579" s="1" t="s">
        <v>262</v>
      </c>
      <c r="B579" s="1" t="s">
        <v>4</v>
      </c>
      <c r="C579" s="1" t="s">
        <v>260</v>
      </c>
      <c r="D579" s="2">
        <v>45457</v>
      </c>
      <c r="E579" s="3">
        <v>9353400</v>
      </c>
      <c r="F579" s="3">
        <v>-3513039</v>
      </c>
      <c r="G579" s="3">
        <v>5840361</v>
      </c>
      <c r="H579" s="1" t="s">
        <v>0</v>
      </c>
      <c r="I579" s="1" t="s">
        <v>2</v>
      </c>
      <c r="J579" s="1" t="s">
        <v>56</v>
      </c>
      <c r="K579" s="2"/>
      <c r="L579" s="1">
        <v>47567063</v>
      </c>
      <c r="M579" t="s">
        <v>1293</v>
      </c>
      <c r="N579">
        <v>41756150</v>
      </c>
      <c r="O579" t="s">
        <v>1323</v>
      </c>
    </row>
    <row r="580" spans="1:15" hidden="1" x14ac:dyDescent="0.35">
      <c r="A580" s="1" t="s">
        <v>261</v>
      </c>
      <c r="B580" s="1" t="s">
        <v>4</v>
      </c>
      <c r="C580" s="1" t="s">
        <v>260</v>
      </c>
      <c r="D580" s="2">
        <v>45457</v>
      </c>
      <c r="E580" s="3">
        <v>9353400</v>
      </c>
      <c r="F580" s="3">
        <v>-3513039</v>
      </c>
      <c r="G580" s="3">
        <v>5840361</v>
      </c>
      <c r="H580" s="1" t="s">
        <v>0</v>
      </c>
      <c r="I580" s="1" t="s">
        <v>2</v>
      </c>
      <c r="J580" s="1" t="s">
        <v>56</v>
      </c>
      <c r="K580" s="2"/>
      <c r="L580" s="1">
        <v>47567063</v>
      </c>
      <c r="M580" t="s">
        <v>1293</v>
      </c>
      <c r="N580">
        <v>41756150</v>
      </c>
      <c r="O580" t="s">
        <v>1323</v>
      </c>
    </row>
    <row r="581" spans="1:15" x14ac:dyDescent="0.35">
      <c r="A581" s="1" t="s">
        <v>259</v>
      </c>
      <c r="B581" s="1" t="s">
        <v>4</v>
      </c>
      <c r="C581" s="1" t="s">
        <v>258</v>
      </c>
      <c r="D581" s="2">
        <v>45595</v>
      </c>
      <c r="E581" s="3">
        <v>23310172</v>
      </c>
      <c r="F581" s="3">
        <v>-3498620</v>
      </c>
      <c r="G581" s="3">
        <v>19811552</v>
      </c>
      <c r="H581" s="1" t="s">
        <v>0</v>
      </c>
      <c r="I581" s="1" t="s">
        <v>2</v>
      </c>
      <c r="J581" s="1" t="s">
        <v>76</v>
      </c>
      <c r="K581" s="2"/>
      <c r="L581" s="14">
        <v>47544019</v>
      </c>
      <c r="M581" t="s">
        <v>1290</v>
      </c>
      <c r="N581" s="12">
        <v>41754150</v>
      </c>
      <c r="O581" t="s">
        <v>1357</v>
      </c>
    </row>
    <row r="582" spans="1:15" x14ac:dyDescent="0.35">
      <c r="A582" s="1" t="s">
        <v>257</v>
      </c>
      <c r="B582" s="1" t="s">
        <v>4</v>
      </c>
      <c r="C582" s="1" t="s">
        <v>256</v>
      </c>
      <c r="D582" s="2">
        <v>45613</v>
      </c>
      <c r="E582" s="3">
        <v>56688151</v>
      </c>
      <c r="F582" s="3">
        <v>-8229520</v>
      </c>
      <c r="G582" s="3">
        <v>48458631</v>
      </c>
      <c r="H582" s="1" t="s">
        <v>0</v>
      </c>
      <c r="I582" s="1" t="s">
        <v>2</v>
      </c>
      <c r="J582" s="1" t="s">
        <v>76</v>
      </c>
      <c r="K582" s="2"/>
      <c r="L582" s="14">
        <v>47544029</v>
      </c>
      <c r="M582" t="s">
        <v>1289</v>
      </c>
      <c r="N582" s="12">
        <v>41754150</v>
      </c>
      <c r="O582" t="s">
        <v>1338</v>
      </c>
    </row>
    <row r="583" spans="1:15" x14ac:dyDescent="0.35">
      <c r="A583" s="1" t="s">
        <v>255</v>
      </c>
      <c r="B583" s="1" t="s">
        <v>4</v>
      </c>
      <c r="C583" s="1" t="s">
        <v>254</v>
      </c>
      <c r="D583" s="2">
        <v>45519</v>
      </c>
      <c r="E583" s="17">
        <v>20753600</v>
      </c>
      <c r="F583" s="17">
        <v>-3545853</v>
      </c>
      <c r="G583" s="17">
        <v>17207747</v>
      </c>
      <c r="H583" s="1" t="s">
        <v>0</v>
      </c>
      <c r="I583" s="1" t="s">
        <v>2</v>
      </c>
      <c r="J583" s="16" t="s">
        <v>76</v>
      </c>
      <c r="K583" s="2"/>
      <c r="L583" s="14">
        <v>47544024</v>
      </c>
      <c r="M583" t="s">
        <v>1275</v>
      </c>
      <c r="N583" s="12">
        <v>41754150</v>
      </c>
      <c r="O583" t="s">
        <v>1350</v>
      </c>
    </row>
    <row r="584" spans="1:15" x14ac:dyDescent="0.35">
      <c r="A584" s="1" t="s">
        <v>253</v>
      </c>
      <c r="B584" s="1" t="s">
        <v>4</v>
      </c>
      <c r="C584" s="1" t="s">
        <v>252</v>
      </c>
      <c r="D584" s="2">
        <v>45485</v>
      </c>
      <c r="E584" s="17">
        <v>8972600</v>
      </c>
      <c r="F584" s="17">
        <v>-3232728</v>
      </c>
      <c r="G584" s="17">
        <v>5739872</v>
      </c>
      <c r="H584" s="1" t="s">
        <v>0</v>
      </c>
      <c r="I584" s="1" t="s">
        <v>2</v>
      </c>
      <c r="J584" s="16" t="s">
        <v>129</v>
      </c>
      <c r="K584" s="2"/>
      <c r="L584" s="14">
        <v>47544024</v>
      </c>
      <c r="M584" t="s">
        <v>1275</v>
      </c>
      <c r="N584" s="12">
        <v>41754150</v>
      </c>
      <c r="O584" t="s">
        <v>1339</v>
      </c>
    </row>
    <row r="585" spans="1:15" x14ac:dyDescent="0.35">
      <c r="A585" s="1" t="s">
        <v>251</v>
      </c>
      <c r="B585" s="1" t="s">
        <v>4</v>
      </c>
      <c r="C585" s="1" t="s">
        <v>248</v>
      </c>
      <c r="D585" s="2">
        <v>45643</v>
      </c>
      <c r="E585" s="3">
        <v>33453014</v>
      </c>
      <c r="F585" s="3">
        <v>-4582229</v>
      </c>
      <c r="G585" s="3">
        <v>28870785</v>
      </c>
      <c r="H585" s="1" t="s">
        <v>0</v>
      </c>
      <c r="I585" s="1" t="s">
        <v>2</v>
      </c>
      <c r="J585" s="1" t="s">
        <v>24</v>
      </c>
      <c r="K585" s="2"/>
      <c r="L585" s="14">
        <v>47544021</v>
      </c>
      <c r="M585" t="s">
        <v>1282</v>
      </c>
      <c r="N585" s="12">
        <v>41754150</v>
      </c>
      <c r="O585" t="s">
        <v>1352</v>
      </c>
    </row>
    <row r="586" spans="1:15" x14ac:dyDescent="0.35">
      <c r="A586" s="1" t="s">
        <v>250</v>
      </c>
      <c r="B586" s="1" t="s">
        <v>4</v>
      </c>
      <c r="C586" s="1" t="s">
        <v>248</v>
      </c>
      <c r="D586" s="2">
        <v>45643</v>
      </c>
      <c r="E586" s="3">
        <v>33453017</v>
      </c>
      <c r="F586" s="3">
        <v>-4582230</v>
      </c>
      <c r="G586" s="3">
        <v>28870787</v>
      </c>
      <c r="H586" s="1" t="s">
        <v>0</v>
      </c>
      <c r="I586" s="1" t="s">
        <v>2</v>
      </c>
      <c r="J586" s="1" t="s">
        <v>24</v>
      </c>
      <c r="K586" s="2"/>
      <c r="L586" s="14">
        <v>47544021</v>
      </c>
      <c r="M586" t="s">
        <v>1282</v>
      </c>
      <c r="N586" s="12">
        <v>41754150</v>
      </c>
      <c r="O586" t="s">
        <v>1352</v>
      </c>
    </row>
    <row r="587" spans="1:15" x14ac:dyDescent="0.35">
      <c r="A587" s="1" t="s">
        <v>249</v>
      </c>
      <c r="B587" s="1" t="s">
        <v>4</v>
      </c>
      <c r="C587" s="1" t="s">
        <v>248</v>
      </c>
      <c r="D587" s="2">
        <v>45643</v>
      </c>
      <c r="E587" s="3">
        <v>33453017</v>
      </c>
      <c r="F587" s="3">
        <v>-4582230</v>
      </c>
      <c r="G587" s="3">
        <v>28870787</v>
      </c>
      <c r="H587" s="1" t="s">
        <v>0</v>
      </c>
      <c r="I587" s="1" t="s">
        <v>2</v>
      </c>
      <c r="J587" s="1" t="s">
        <v>24</v>
      </c>
      <c r="K587" s="2"/>
      <c r="L587" s="14">
        <v>47544021</v>
      </c>
      <c r="M587" t="s">
        <v>1282</v>
      </c>
      <c r="N587" s="12">
        <v>41754150</v>
      </c>
      <c r="O587" t="s">
        <v>1352</v>
      </c>
    </row>
    <row r="588" spans="1:15" hidden="1" x14ac:dyDescent="0.35">
      <c r="A588" s="1" t="s">
        <v>247</v>
      </c>
      <c r="B588" s="1" t="s">
        <v>4</v>
      </c>
      <c r="C588" s="1" t="s">
        <v>246</v>
      </c>
      <c r="D588" s="2">
        <v>45485</v>
      </c>
      <c r="E588" s="3">
        <v>4428673</v>
      </c>
      <c r="F588" s="3">
        <v>-1595602</v>
      </c>
      <c r="G588" s="3">
        <v>2833071</v>
      </c>
      <c r="H588" s="1" t="s">
        <v>0</v>
      </c>
      <c r="I588" s="1" t="s">
        <v>2</v>
      </c>
      <c r="J588" s="1" t="s">
        <v>56</v>
      </c>
      <c r="K588" s="2"/>
      <c r="L588" s="1">
        <v>47511020</v>
      </c>
      <c r="M588" t="s">
        <v>1308</v>
      </c>
      <c r="N588">
        <v>41751150</v>
      </c>
      <c r="O588" t="s">
        <v>1324</v>
      </c>
    </row>
    <row r="589" spans="1:15" hidden="1" x14ac:dyDescent="0.35">
      <c r="A589" s="1" t="s">
        <v>245</v>
      </c>
      <c r="B589" s="1" t="s">
        <v>4</v>
      </c>
      <c r="C589" s="1" t="s">
        <v>244</v>
      </c>
      <c r="D589" s="2">
        <v>45546</v>
      </c>
      <c r="E589" s="3">
        <v>3800157</v>
      </c>
      <c r="F589" s="3">
        <v>-1242482</v>
      </c>
      <c r="G589" s="3">
        <v>2557675</v>
      </c>
      <c r="H589" s="1" t="s">
        <v>0</v>
      </c>
      <c r="I589" s="1" t="s">
        <v>2</v>
      </c>
      <c r="J589" s="1" t="s">
        <v>56</v>
      </c>
      <c r="K589" s="2"/>
      <c r="L589" s="1">
        <v>47567102</v>
      </c>
      <c r="M589" t="s">
        <v>1273</v>
      </c>
      <c r="N589">
        <v>41756150</v>
      </c>
      <c r="O589" t="s">
        <v>1320</v>
      </c>
    </row>
    <row r="590" spans="1:15" hidden="1" x14ac:dyDescent="0.35">
      <c r="A590" s="1" t="s">
        <v>243</v>
      </c>
      <c r="B590" s="1" t="s">
        <v>4</v>
      </c>
      <c r="C590" s="1" t="s">
        <v>241</v>
      </c>
      <c r="D590" s="2">
        <v>45531</v>
      </c>
      <c r="E590" s="3">
        <v>4010300</v>
      </c>
      <c r="F590" s="3">
        <v>-1344061</v>
      </c>
      <c r="G590" s="3">
        <v>2666239</v>
      </c>
      <c r="H590" s="1" t="s">
        <v>0</v>
      </c>
      <c r="I590" s="1" t="s">
        <v>2</v>
      </c>
      <c r="J590" s="1" t="s">
        <v>56</v>
      </c>
      <c r="K590" s="2"/>
      <c r="L590" s="1">
        <v>47567062</v>
      </c>
      <c r="M590" t="s">
        <v>1292</v>
      </c>
      <c r="N590">
        <v>41756150</v>
      </c>
      <c r="O590" t="s">
        <v>1323</v>
      </c>
    </row>
    <row r="591" spans="1:15" hidden="1" x14ac:dyDescent="0.35">
      <c r="A591" s="1" t="s">
        <v>242</v>
      </c>
      <c r="B591" s="1" t="s">
        <v>4</v>
      </c>
      <c r="C591" s="1" t="s">
        <v>241</v>
      </c>
      <c r="D591" s="2">
        <v>45531</v>
      </c>
      <c r="E591" s="3">
        <v>4010300</v>
      </c>
      <c r="F591" s="3">
        <v>-1344061</v>
      </c>
      <c r="G591" s="3">
        <v>2666239</v>
      </c>
      <c r="H591" s="1" t="s">
        <v>0</v>
      </c>
      <c r="I591" s="1" t="s">
        <v>2</v>
      </c>
      <c r="J591" s="1" t="s">
        <v>56</v>
      </c>
      <c r="K591" s="2"/>
      <c r="L591" s="1">
        <v>47567062</v>
      </c>
      <c r="M591" t="s">
        <v>1292</v>
      </c>
      <c r="N591">
        <v>41756150</v>
      </c>
      <c r="O591" t="s">
        <v>1323</v>
      </c>
    </row>
    <row r="592" spans="1:15" hidden="1" x14ac:dyDescent="0.35">
      <c r="A592" s="1" t="s">
        <v>240</v>
      </c>
      <c r="B592" s="1" t="s">
        <v>4</v>
      </c>
      <c r="C592" s="1" t="s">
        <v>239</v>
      </c>
      <c r="D592" s="2">
        <v>45537</v>
      </c>
      <c r="E592" s="3">
        <v>3709034</v>
      </c>
      <c r="F592" s="3">
        <v>-1230931</v>
      </c>
      <c r="G592" s="3">
        <v>2478103</v>
      </c>
      <c r="H592" s="1" t="s">
        <v>0</v>
      </c>
      <c r="I592" s="1" t="s">
        <v>2</v>
      </c>
      <c r="J592" s="1" t="s">
        <v>56</v>
      </c>
      <c r="K592" s="2"/>
      <c r="L592" s="1">
        <v>47567102</v>
      </c>
      <c r="M592" t="s">
        <v>1273</v>
      </c>
      <c r="N592">
        <v>41756150</v>
      </c>
      <c r="O592" t="s">
        <v>1320</v>
      </c>
    </row>
    <row r="593" spans="1:15" x14ac:dyDescent="0.35">
      <c r="A593" s="1" t="s">
        <v>238</v>
      </c>
      <c r="B593" s="1" t="s">
        <v>4</v>
      </c>
      <c r="C593" s="1" t="s">
        <v>237</v>
      </c>
      <c r="D593" s="2">
        <v>45588</v>
      </c>
      <c r="E593" s="3">
        <v>126211400</v>
      </c>
      <c r="F593" s="3">
        <v>-19184435</v>
      </c>
      <c r="G593" s="3">
        <v>107026965</v>
      </c>
      <c r="H593" s="1" t="s">
        <v>0</v>
      </c>
      <c r="I593" s="1" t="s">
        <v>2</v>
      </c>
      <c r="J593" s="1" t="s">
        <v>76</v>
      </c>
      <c r="K593" s="2"/>
      <c r="L593" s="14">
        <v>47544025</v>
      </c>
      <c r="M593" t="s">
        <v>1278</v>
      </c>
      <c r="N593" s="12">
        <v>41754150</v>
      </c>
      <c r="O593" t="s">
        <v>1338</v>
      </c>
    </row>
    <row r="594" spans="1:15" hidden="1" x14ac:dyDescent="0.35">
      <c r="A594" s="1" t="s">
        <v>236</v>
      </c>
      <c r="B594" s="1" t="s">
        <v>4</v>
      </c>
      <c r="C594" s="1" t="s">
        <v>234</v>
      </c>
      <c r="D594" s="2">
        <v>45574</v>
      </c>
      <c r="E594" s="3">
        <v>5355000</v>
      </c>
      <c r="F594" s="3">
        <v>-1668913</v>
      </c>
      <c r="G594" s="3">
        <v>3686087</v>
      </c>
      <c r="H594" s="1" t="s">
        <v>0</v>
      </c>
      <c r="I594" s="1" t="s">
        <v>2</v>
      </c>
      <c r="J594" s="1" t="s">
        <v>56</v>
      </c>
      <c r="K594" s="2"/>
      <c r="L594" s="1">
        <v>47500021</v>
      </c>
      <c r="M594" t="s">
        <v>1294</v>
      </c>
      <c r="N594">
        <v>41750150</v>
      </c>
      <c r="O594" t="s">
        <v>1314</v>
      </c>
    </row>
    <row r="595" spans="1:15" hidden="1" x14ac:dyDescent="0.35">
      <c r="A595" s="1" t="s">
        <v>235</v>
      </c>
      <c r="B595" s="1" t="s">
        <v>4</v>
      </c>
      <c r="C595" s="1" t="s">
        <v>234</v>
      </c>
      <c r="D595" s="2">
        <v>45574</v>
      </c>
      <c r="E595" s="3">
        <v>5355000</v>
      </c>
      <c r="F595" s="3">
        <v>-1668913</v>
      </c>
      <c r="G595" s="3">
        <v>3686087</v>
      </c>
      <c r="H595" s="1" t="s">
        <v>0</v>
      </c>
      <c r="I595" s="1" t="s">
        <v>2</v>
      </c>
      <c r="J595" s="1" t="s">
        <v>56</v>
      </c>
      <c r="K595" s="2"/>
      <c r="L595" s="1">
        <v>47500021</v>
      </c>
      <c r="M595" t="s">
        <v>1294</v>
      </c>
      <c r="N595">
        <v>41750150</v>
      </c>
      <c r="O595" t="s">
        <v>1314</v>
      </c>
    </row>
    <row r="596" spans="1:15" hidden="1" x14ac:dyDescent="0.35">
      <c r="A596" s="1" t="s">
        <v>233</v>
      </c>
      <c r="B596" s="1" t="s">
        <v>4</v>
      </c>
      <c r="C596" s="1" t="s">
        <v>232</v>
      </c>
      <c r="D596" s="2">
        <v>45586</v>
      </c>
      <c r="E596" s="3">
        <v>12378569</v>
      </c>
      <c r="F596" s="3">
        <v>-3776673</v>
      </c>
      <c r="G596" s="3">
        <v>8601896</v>
      </c>
      <c r="H596" s="1" t="s">
        <v>0</v>
      </c>
      <c r="I596" s="1" t="s">
        <v>2</v>
      </c>
      <c r="J596" s="1" t="s">
        <v>56</v>
      </c>
      <c r="K596" s="2"/>
      <c r="L596" s="1">
        <v>47544013</v>
      </c>
      <c r="M596" t="s">
        <v>1284</v>
      </c>
      <c r="N596">
        <v>41754150</v>
      </c>
      <c r="O596" t="s">
        <v>1317</v>
      </c>
    </row>
    <row r="597" spans="1:15" hidden="1" x14ac:dyDescent="0.35">
      <c r="A597" s="1" t="s">
        <v>231</v>
      </c>
      <c r="B597" s="1" t="s">
        <v>4</v>
      </c>
      <c r="C597" s="1" t="s">
        <v>229</v>
      </c>
      <c r="D597" s="2">
        <v>45576</v>
      </c>
      <c r="E597" s="3">
        <v>9235216</v>
      </c>
      <c r="F597" s="3">
        <v>-2868108</v>
      </c>
      <c r="G597" s="3">
        <v>6367108</v>
      </c>
      <c r="H597" s="1" t="s">
        <v>0</v>
      </c>
      <c r="I597" s="1" t="s">
        <v>2</v>
      </c>
      <c r="J597" s="1" t="s">
        <v>56</v>
      </c>
      <c r="K597" s="2"/>
      <c r="L597" s="1">
        <v>47567063</v>
      </c>
      <c r="M597" t="s">
        <v>1293</v>
      </c>
      <c r="N597">
        <v>41756150</v>
      </c>
      <c r="O597" t="s">
        <v>1323</v>
      </c>
    </row>
    <row r="598" spans="1:15" hidden="1" x14ac:dyDescent="0.35">
      <c r="A598" s="1" t="s">
        <v>230</v>
      </c>
      <c r="B598" s="1" t="s">
        <v>4</v>
      </c>
      <c r="C598" s="1" t="s">
        <v>229</v>
      </c>
      <c r="D598" s="2">
        <v>45576</v>
      </c>
      <c r="E598" s="3">
        <v>9235216</v>
      </c>
      <c r="F598" s="3">
        <v>-2868108</v>
      </c>
      <c r="G598" s="3">
        <v>6367108</v>
      </c>
      <c r="H598" s="1" t="s">
        <v>0</v>
      </c>
      <c r="I598" s="1" t="s">
        <v>2</v>
      </c>
      <c r="J598" s="1" t="s">
        <v>56</v>
      </c>
      <c r="K598" s="2"/>
      <c r="L598" s="1">
        <v>47567063</v>
      </c>
      <c r="M598" t="s">
        <v>1293</v>
      </c>
      <c r="N598">
        <v>41756150</v>
      </c>
      <c r="O598" t="s">
        <v>1323</v>
      </c>
    </row>
    <row r="599" spans="1:15" x14ac:dyDescent="0.35">
      <c r="A599" s="1" t="s">
        <v>228</v>
      </c>
      <c r="B599" s="1" t="s">
        <v>4</v>
      </c>
      <c r="C599" s="1" t="s">
        <v>227</v>
      </c>
      <c r="D599" s="2">
        <v>45653</v>
      </c>
      <c r="E599" s="3">
        <v>8784898</v>
      </c>
      <c r="F599" s="3">
        <v>-2353651</v>
      </c>
      <c r="G599" s="3">
        <v>6431247</v>
      </c>
      <c r="H599" s="1" t="s">
        <v>0</v>
      </c>
      <c r="I599" s="1" t="s">
        <v>2</v>
      </c>
      <c r="J599" s="1" t="s">
        <v>202</v>
      </c>
      <c r="K599" s="2"/>
      <c r="L599" s="14">
        <v>47544021</v>
      </c>
      <c r="M599" t="s">
        <v>1282</v>
      </c>
      <c r="N599" s="12">
        <v>41754150</v>
      </c>
      <c r="O599" t="s">
        <v>1353</v>
      </c>
    </row>
    <row r="600" spans="1:15" x14ac:dyDescent="0.35">
      <c r="A600" s="1" t="s">
        <v>225</v>
      </c>
      <c r="B600" s="1" t="s">
        <v>4</v>
      </c>
      <c r="C600" s="1" t="s">
        <v>226</v>
      </c>
      <c r="D600" s="2">
        <v>45609</v>
      </c>
      <c r="E600" s="3">
        <v>5696248</v>
      </c>
      <c r="F600" s="3">
        <v>-833160</v>
      </c>
      <c r="G600" s="3">
        <v>4863088</v>
      </c>
      <c r="H600" s="1" t="s">
        <v>0</v>
      </c>
      <c r="I600" s="1" t="s">
        <v>2</v>
      </c>
      <c r="J600" s="1" t="s">
        <v>76</v>
      </c>
      <c r="K600" s="2"/>
      <c r="L600" s="14">
        <v>47544019</v>
      </c>
      <c r="M600" t="s">
        <v>1290</v>
      </c>
      <c r="N600" s="12">
        <v>41754150</v>
      </c>
      <c r="O600" t="s">
        <v>1357</v>
      </c>
    </row>
    <row r="601" spans="1:15" x14ac:dyDescent="0.35">
      <c r="A601" s="1" t="s">
        <v>225</v>
      </c>
      <c r="B601" s="1" t="s">
        <v>23</v>
      </c>
      <c r="C601" s="1" t="s">
        <v>224</v>
      </c>
      <c r="D601" s="2">
        <v>45609</v>
      </c>
      <c r="E601" s="3">
        <v>3138748</v>
      </c>
      <c r="F601" s="3">
        <v>-459088</v>
      </c>
      <c r="G601" s="3">
        <v>2679660</v>
      </c>
      <c r="H601" s="1" t="s">
        <v>0</v>
      </c>
      <c r="I601" s="1" t="s">
        <v>2</v>
      </c>
      <c r="J601" s="1" t="s">
        <v>76</v>
      </c>
      <c r="K601" s="2"/>
      <c r="L601" s="14">
        <v>47544019</v>
      </c>
      <c r="M601" t="s">
        <v>1290</v>
      </c>
      <c r="N601" s="12">
        <v>41754150</v>
      </c>
      <c r="O601" t="s">
        <v>1357</v>
      </c>
    </row>
    <row r="602" spans="1:15" x14ac:dyDescent="0.35">
      <c r="A602" s="1" t="s">
        <v>223</v>
      </c>
      <c r="B602" s="1" t="s">
        <v>4</v>
      </c>
      <c r="C602" s="1" t="s">
        <v>222</v>
      </c>
      <c r="D602" s="2">
        <v>45821</v>
      </c>
      <c r="E602" s="3">
        <v>111543446</v>
      </c>
      <c r="F602" s="3">
        <v>-9840271</v>
      </c>
      <c r="G602" s="3">
        <v>101703175</v>
      </c>
      <c r="H602" s="1" t="s">
        <v>0</v>
      </c>
      <c r="I602" s="1" t="s">
        <v>2</v>
      </c>
      <c r="J602" s="1" t="s">
        <v>76</v>
      </c>
      <c r="K602" s="2"/>
      <c r="L602" s="14">
        <v>47544021</v>
      </c>
      <c r="M602" t="s">
        <v>1282</v>
      </c>
      <c r="N602" s="12">
        <v>41754150</v>
      </c>
      <c r="O602" t="s">
        <v>1354</v>
      </c>
    </row>
    <row r="603" spans="1:15" hidden="1" x14ac:dyDescent="0.35">
      <c r="A603" s="1" t="s">
        <v>221</v>
      </c>
      <c r="B603" s="1" t="s">
        <v>4</v>
      </c>
      <c r="C603" s="1" t="s">
        <v>217</v>
      </c>
      <c r="D603" s="2">
        <v>45603</v>
      </c>
      <c r="E603" s="3">
        <v>2744021</v>
      </c>
      <c r="F603" s="3">
        <v>-811704</v>
      </c>
      <c r="G603" s="3">
        <v>1932317</v>
      </c>
      <c r="H603" s="1" t="s">
        <v>0</v>
      </c>
      <c r="I603" s="1" t="s">
        <v>2</v>
      </c>
      <c r="J603" s="1" t="s">
        <v>56</v>
      </c>
      <c r="K603" s="2"/>
      <c r="L603" s="1">
        <v>47567102</v>
      </c>
      <c r="M603" t="s">
        <v>1273</v>
      </c>
      <c r="N603">
        <v>41756150</v>
      </c>
      <c r="O603" t="s">
        <v>1320</v>
      </c>
    </row>
    <row r="604" spans="1:15" hidden="1" x14ac:dyDescent="0.35">
      <c r="A604" s="1" t="s">
        <v>220</v>
      </c>
      <c r="B604" s="1" t="s">
        <v>4</v>
      </c>
      <c r="C604" s="1" t="s">
        <v>217</v>
      </c>
      <c r="D604" s="2">
        <v>45603</v>
      </c>
      <c r="E604" s="3">
        <v>2744021</v>
      </c>
      <c r="F604" s="3">
        <v>-811704</v>
      </c>
      <c r="G604" s="3">
        <v>1932317</v>
      </c>
      <c r="H604" s="1" t="s">
        <v>0</v>
      </c>
      <c r="I604" s="1" t="s">
        <v>2</v>
      </c>
      <c r="J604" s="1" t="s">
        <v>56</v>
      </c>
      <c r="K604" s="2"/>
      <c r="L604" s="1">
        <v>47567081</v>
      </c>
      <c r="M604" t="s">
        <v>1274</v>
      </c>
      <c r="N604">
        <v>41756150</v>
      </c>
      <c r="O604" t="s">
        <v>1316</v>
      </c>
    </row>
    <row r="605" spans="1:15" hidden="1" x14ac:dyDescent="0.35">
      <c r="A605" s="1" t="s">
        <v>219</v>
      </c>
      <c r="B605" s="1" t="s">
        <v>4</v>
      </c>
      <c r="C605" s="1" t="s">
        <v>217</v>
      </c>
      <c r="D605" s="2">
        <v>45616</v>
      </c>
      <c r="E605" s="3">
        <v>2305900</v>
      </c>
      <c r="F605" s="3">
        <v>-665723</v>
      </c>
      <c r="G605" s="3">
        <v>1640177</v>
      </c>
      <c r="H605" s="1" t="s">
        <v>0</v>
      </c>
      <c r="I605" s="1" t="s">
        <v>2</v>
      </c>
      <c r="J605" s="1" t="s">
        <v>56</v>
      </c>
      <c r="K605" s="2"/>
      <c r="L605" s="1">
        <v>47567102</v>
      </c>
      <c r="M605" t="s">
        <v>1273</v>
      </c>
      <c r="N605">
        <v>41756150</v>
      </c>
      <c r="O605" t="s">
        <v>1320</v>
      </c>
    </row>
    <row r="606" spans="1:15" hidden="1" x14ac:dyDescent="0.35">
      <c r="A606" s="1" t="s">
        <v>218</v>
      </c>
      <c r="B606" s="1" t="s">
        <v>4</v>
      </c>
      <c r="C606" s="1" t="s">
        <v>217</v>
      </c>
      <c r="D606" s="2">
        <v>45616</v>
      </c>
      <c r="E606" s="3">
        <v>2305900</v>
      </c>
      <c r="F606" s="3">
        <v>-665723</v>
      </c>
      <c r="G606" s="3">
        <v>1640177</v>
      </c>
      <c r="H606" s="1" t="s">
        <v>0</v>
      </c>
      <c r="I606" s="1" t="s">
        <v>2</v>
      </c>
      <c r="J606" s="1" t="s">
        <v>56</v>
      </c>
      <c r="K606" s="2"/>
      <c r="L606" s="1">
        <v>47567102</v>
      </c>
      <c r="M606" t="s">
        <v>1273</v>
      </c>
      <c r="N606">
        <v>41756150</v>
      </c>
      <c r="O606" t="s">
        <v>1320</v>
      </c>
    </row>
    <row r="607" spans="1:15" hidden="1" x14ac:dyDescent="0.35">
      <c r="A607" s="1" t="s">
        <v>216</v>
      </c>
      <c r="B607" s="1" t="s">
        <v>4</v>
      </c>
      <c r="C607" s="1" t="s">
        <v>215</v>
      </c>
      <c r="D607" s="2">
        <v>45618</v>
      </c>
      <c r="E607" s="3">
        <v>11099852</v>
      </c>
      <c r="F607" s="3">
        <v>-3192443</v>
      </c>
      <c r="G607" s="3">
        <v>7907409</v>
      </c>
      <c r="H607" s="1" t="s">
        <v>0</v>
      </c>
      <c r="I607" s="1" t="s">
        <v>2</v>
      </c>
      <c r="J607" s="1" t="s">
        <v>56</v>
      </c>
      <c r="K607" s="2"/>
      <c r="L607" s="1">
        <v>47567102</v>
      </c>
      <c r="M607" t="s">
        <v>1273</v>
      </c>
      <c r="N607">
        <v>41756150</v>
      </c>
      <c r="O607" t="s">
        <v>1320</v>
      </c>
    </row>
    <row r="608" spans="1:15" x14ac:dyDescent="0.35">
      <c r="A608" s="1" t="s">
        <v>214</v>
      </c>
      <c r="B608" s="1" t="s">
        <v>4</v>
      </c>
      <c r="C608" s="1" t="s">
        <v>213</v>
      </c>
      <c r="D608" s="2">
        <v>45637</v>
      </c>
      <c r="E608" s="3">
        <v>27289437</v>
      </c>
      <c r="F608" s="3">
        <v>-7565418</v>
      </c>
      <c r="G608" s="3">
        <v>19724019</v>
      </c>
      <c r="H608" s="1" t="s">
        <v>0</v>
      </c>
      <c r="I608" s="1" t="s">
        <v>2</v>
      </c>
      <c r="J608" s="1" t="s">
        <v>202</v>
      </c>
      <c r="K608" s="2"/>
      <c r="L608" s="14">
        <v>47511045</v>
      </c>
      <c r="M608" t="s">
        <v>1304</v>
      </c>
      <c r="N608" s="12">
        <v>41751150</v>
      </c>
      <c r="O608" t="s">
        <v>1322</v>
      </c>
    </row>
    <row r="609" spans="1:15" hidden="1" x14ac:dyDescent="0.35">
      <c r="A609" s="1" t="s">
        <v>212</v>
      </c>
      <c r="B609" s="1" t="s">
        <v>4</v>
      </c>
      <c r="C609" s="1" t="s">
        <v>211</v>
      </c>
      <c r="D609" s="2">
        <v>45642</v>
      </c>
      <c r="E609" s="3">
        <v>8866690</v>
      </c>
      <c r="F609" s="3">
        <v>-2433876</v>
      </c>
      <c r="G609" s="3">
        <v>6432814</v>
      </c>
      <c r="H609" s="1" t="s">
        <v>0</v>
      </c>
      <c r="I609" s="1" t="s">
        <v>2</v>
      </c>
      <c r="J609" s="1" t="s">
        <v>56</v>
      </c>
      <c r="K609" s="2"/>
      <c r="L609" s="1">
        <v>47500000</v>
      </c>
      <c r="M609" t="s">
        <v>1295</v>
      </c>
      <c r="N609">
        <v>41750150</v>
      </c>
      <c r="O609" t="s">
        <v>1314</v>
      </c>
    </row>
    <row r="610" spans="1:15" x14ac:dyDescent="0.35">
      <c r="A610" s="1" t="s">
        <v>210</v>
      </c>
      <c r="B610" s="1" t="s">
        <v>4</v>
      </c>
      <c r="C610" s="1" t="s">
        <v>209</v>
      </c>
      <c r="D610" s="2">
        <v>45645</v>
      </c>
      <c r="E610" s="3">
        <v>35473900</v>
      </c>
      <c r="F610" s="3">
        <v>-4839655</v>
      </c>
      <c r="G610" s="3">
        <v>30634245</v>
      </c>
      <c r="H610" s="1" t="s">
        <v>0</v>
      </c>
      <c r="I610" s="1" t="s">
        <v>2</v>
      </c>
      <c r="J610" s="1" t="s">
        <v>76</v>
      </c>
      <c r="K610" s="2"/>
      <c r="L610" s="14">
        <v>47544021</v>
      </c>
      <c r="M610" t="s">
        <v>1282</v>
      </c>
      <c r="N610" s="12">
        <v>41754150</v>
      </c>
      <c r="O610" t="s">
        <v>1345</v>
      </c>
    </row>
    <row r="611" spans="1:15" x14ac:dyDescent="0.35">
      <c r="A611" s="1" t="s">
        <v>208</v>
      </c>
      <c r="B611" s="1" t="s">
        <v>4</v>
      </c>
      <c r="C611" s="1" t="s">
        <v>207</v>
      </c>
      <c r="D611" s="2">
        <v>45709</v>
      </c>
      <c r="E611" s="3">
        <v>25031649</v>
      </c>
      <c r="F611" s="3">
        <v>-2976366</v>
      </c>
      <c r="G611" s="3">
        <v>22055283</v>
      </c>
      <c r="H611" s="1" t="s">
        <v>0</v>
      </c>
      <c r="I611" s="1" t="s">
        <v>2</v>
      </c>
      <c r="J611" s="1" t="s">
        <v>76</v>
      </c>
      <c r="K611" s="2"/>
      <c r="L611" s="14">
        <v>47544021</v>
      </c>
      <c r="M611" t="s">
        <v>1282</v>
      </c>
      <c r="N611" s="12">
        <v>41754150</v>
      </c>
      <c r="O611" t="s">
        <v>1352</v>
      </c>
    </row>
    <row r="612" spans="1:15" hidden="1" x14ac:dyDescent="0.35">
      <c r="A612" s="1" t="s">
        <v>206</v>
      </c>
      <c r="B612" s="1" t="s">
        <v>4</v>
      </c>
      <c r="C612" s="1" t="s">
        <v>205</v>
      </c>
      <c r="D612" s="2">
        <v>45679</v>
      </c>
      <c r="E612" s="3">
        <v>5829810</v>
      </c>
      <c r="F612" s="3">
        <v>-1482209</v>
      </c>
      <c r="G612" s="3">
        <v>4347601</v>
      </c>
      <c r="H612" s="1" t="s">
        <v>0</v>
      </c>
      <c r="I612" s="1" t="s">
        <v>2</v>
      </c>
      <c r="J612" s="1" t="s">
        <v>56</v>
      </c>
      <c r="K612" s="2"/>
      <c r="L612" s="1">
        <v>47567061</v>
      </c>
      <c r="M612" t="s">
        <v>1307</v>
      </c>
      <c r="N612">
        <v>41756150</v>
      </c>
      <c r="O612" t="s">
        <v>1323</v>
      </c>
    </row>
    <row r="613" spans="1:15" x14ac:dyDescent="0.35">
      <c r="A613" s="1" t="s">
        <v>204</v>
      </c>
      <c r="B613" s="1" t="s">
        <v>4</v>
      </c>
      <c r="C613" s="1" t="s">
        <v>203</v>
      </c>
      <c r="D613" s="2">
        <v>45694</v>
      </c>
      <c r="E613" s="3">
        <v>5381180</v>
      </c>
      <c r="F613" s="3">
        <v>-1323918</v>
      </c>
      <c r="G613" s="3">
        <v>4057262</v>
      </c>
      <c r="H613" s="1" t="s">
        <v>0</v>
      </c>
      <c r="I613" s="1" t="s">
        <v>2</v>
      </c>
      <c r="J613" s="1" t="s">
        <v>202</v>
      </c>
      <c r="K613" s="2"/>
      <c r="L613" s="14">
        <v>47567064</v>
      </c>
      <c r="M613" t="s">
        <v>1271</v>
      </c>
      <c r="N613" s="12">
        <v>41756150</v>
      </c>
      <c r="O613" t="s">
        <v>1321</v>
      </c>
    </row>
    <row r="614" spans="1:15" x14ac:dyDescent="0.35">
      <c r="A614" s="1" t="s">
        <v>201</v>
      </c>
      <c r="B614" s="1" t="s">
        <v>4</v>
      </c>
      <c r="C614" s="1" t="s">
        <v>199</v>
      </c>
      <c r="D614" s="2">
        <v>45803</v>
      </c>
      <c r="E614" s="17">
        <v>7610265</v>
      </c>
      <c r="F614" s="17">
        <v>-708901</v>
      </c>
      <c r="G614" s="17">
        <v>6901364</v>
      </c>
      <c r="H614" s="1" t="s">
        <v>0</v>
      </c>
      <c r="I614" s="1" t="s">
        <v>2</v>
      </c>
      <c r="J614" s="16" t="s">
        <v>76</v>
      </c>
      <c r="K614" s="2"/>
      <c r="L614" s="14">
        <v>47544024</v>
      </c>
      <c r="M614" t="s">
        <v>1275</v>
      </c>
      <c r="N614" s="12">
        <v>41754150</v>
      </c>
      <c r="O614" t="s">
        <v>1346</v>
      </c>
    </row>
    <row r="615" spans="1:15" x14ac:dyDescent="0.35">
      <c r="A615" s="1" t="s">
        <v>200</v>
      </c>
      <c r="B615" s="1" t="s">
        <v>4</v>
      </c>
      <c r="C615" s="1" t="s">
        <v>199</v>
      </c>
      <c r="D615" s="2">
        <v>45803</v>
      </c>
      <c r="E615" s="17">
        <v>7610265</v>
      </c>
      <c r="F615" s="17">
        <v>-708901</v>
      </c>
      <c r="G615" s="17">
        <v>6901364</v>
      </c>
      <c r="H615" s="1" t="s">
        <v>0</v>
      </c>
      <c r="I615" s="1" t="s">
        <v>2</v>
      </c>
      <c r="J615" s="16" t="s">
        <v>76</v>
      </c>
      <c r="K615" s="2"/>
      <c r="L615" s="14">
        <v>47544024</v>
      </c>
      <c r="M615" t="s">
        <v>1275</v>
      </c>
      <c r="N615" s="12">
        <v>41754150</v>
      </c>
      <c r="O615" t="s">
        <v>1345</v>
      </c>
    </row>
    <row r="616" spans="1:15" hidden="1" x14ac:dyDescent="0.35">
      <c r="A616" s="1" t="s">
        <v>198</v>
      </c>
      <c r="B616" s="1" t="s">
        <v>4</v>
      </c>
      <c r="C616" s="1" t="s">
        <v>196</v>
      </c>
      <c r="D616" s="2">
        <v>45713</v>
      </c>
      <c r="E616" s="3">
        <v>2665600</v>
      </c>
      <c r="F616" s="3">
        <v>-628059</v>
      </c>
      <c r="G616" s="3">
        <v>2037541</v>
      </c>
      <c r="H616" s="1" t="s">
        <v>0</v>
      </c>
      <c r="I616" s="1" t="s">
        <v>2</v>
      </c>
      <c r="J616" s="1" t="s">
        <v>56</v>
      </c>
      <c r="K616" s="2"/>
      <c r="L616" s="1">
        <v>47511020</v>
      </c>
      <c r="M616" t="s">
        <v>1308</v>
      </c>
      <c r="N616">
        <v>41751150</v>
      </c>
      <c r="O616" t="s">
        <v>1324</v>
      </c>
    </row>
    <row r="617" spans="1:15" hidden="1" x14ac:dyDescent="0.35">
      <c r="A617" s="1" t="s">
        <v>197</v>
      </c>
      <c r="B617" s="1" t="s">
        <v>4</v>
      </c>
      <c r="C617" s="1" t="s">
        <v>196</v>
      </c>
      <c r="D617" s="2">
        <v>45713</v>
      </c>
      <c r="E617" s="3">
        <v>2665600</v>
      </c>
      <c r="F617" s="3">
        <v>-628059</v>
      </c>
      <c r="G617" s="3">
        <v>2037541</v>
      </c>
      <c r="H617" s="1" t="s">
        <v>0</v>
      </c>
      <c r="I617" s="1" t="s">
        <v>2</v>
      </c>
      <c r="J617" s="1" t="s">
        <v>56</v>
      </c>
      <c r="K617" s="2"/>
      <c r="L617" s="1">
        <v>47567102</v>
      </c>
      <c r="M617" t="s">
        <v>1273</v>
      </c>
      <c r="N617">
        <v>41756150</v>
      </c>
      <c r="O617" t="s">
        <v>1320</v>
      </c>
    </row>
    <row r="618" spans="1:15" hidden="1" x14ac:dyDescent="0.35">
      <c r="A618" s="1" t="s">
        <v>195</v>
      </c>
      <c r="B618" s="1" t="s">
        <v>4</v>
      </c>
      <c r="C618" s="1" t="s">
        <v>194</v>
      </c>
      <c r="D618" s="2">
        <v>45705</v>
      </c>
      <c r="E618" s="3">
        <v>4556510</v>
      </c>
      <c r="F618" s="3">
        <v>-1093562</v>
      </c>
      <c r="G618" s="3">
        <v>3462948</v>
      </c>
      <c r="H618" s="1" t="s">
        <v>0</v>
      </c>
      <c r="I618" s="1" t="s">
        <v>2</v>
      </c>
      <c r="J618" s="1" t="s">
        <v>56</v>
      </c>
      <c r="K618" s="2"/>
      <c r="L618" s="1">
        <v>47567062</v>
      </c>
      <c r="M618" t="s">
        <v>1292</v>
      </c>
      <c r="N618">
        <v>41756150</v>
      </c>
      <c r="O618" t="s">
        <v>1323</v>
      </c>
    </row>
    <row r="619" spans="1:15" hidden="1" x14ac:dyDescent="0.35">
      <c r="A619" s="1" t="s">
        <v>193</v>
      </c>
      <c r="B619" s="1" t="s">
        <v>4</v>
      </c>
      <c r="C619" s="1" t="s">
        <v>192</v>
      </c>
      <c r="D619" s="2">
        <v>45701</v>
      </c>
      <c r="E619" s="3">
        <v>10162600</v>
      </c>
      <c r="F619" s="3">
        <v>-2461298</v>
      </c>
      <c r="G619" s="3">
        <v>7701302</v>
      </c>
      <c r="H619" s="1" t="s">
        <v>0</v>
      </c>
      <c r="I619" s="1" t="s">
        <v>2</v>
      </c>
      <c r="J619" s="1" t="s">
        <v>56</v>
      </c>
      <c r="K619" s="2"/>
      <c r="L619" s="1">
        <v>47500000</v>
      </c>
      <c r="M619" t="s">
        <v>1295</v>
      </c>
      <c r="N619">
        <v>41750150</v>
      </c>
      <c r="O619" t="s">
        <v>1314</v>
      </c>
    </row>
    <row r="620" spans="1:15" x14ac:dyDescent="0.35">
      <c r="A620" s="1" t="s">
        <v>191</v>
      </c>
      <c r="B620" s="1" t="s">
        <v>4</v>
      </c>
      <c r="C620" s="1" t="s">
        <v>190</v>
      </c>
      <c r="D620" s="2">
        <v>45705</v>
      </c>
      <c r="E620" s="3">
        <v>7967636</v>
      </c>
      <c r="F620" s="3">
        <v>-956117</v>
      </c>
      <c r="G620" s="3">
        <v>7011519</v>
      </c>
      <c r="H620" s="1" t="s">
        <v>0</v>
      </c>
      <c r="I620" s="1" t="s">
        <v>2</v>
      </c>
      <c r="J620" s="1" t="s">
        <v>76</v>
      </c>
      <c r="K620" s="2"/>
      <c r="L620" s="14">
        <v>47544021</v>
      </c>
      <c r="M620" t="s">
        <v>1282</v>
      </c>
      <c r="N620" s="12">
        <v>41754150</v>
      </c>
      <c r="O620" t="s">
        <v>1342</v>
      </c>
    </row>
    <row r="621" spans="1:15" x14ac:dyDescent="0.35">
      <c r="A621" s="1" t="s">
        <v>189</v>
      </c>
      <c r="B621" s="1" t="s">
        <v>4</v>
      </c>
      <c r="C621" s="1" t="s">
        <v>188</v>
      </c>
      <c r="D621" s="2">
        <v>45706</v>
      </c>
      <c r="E621" s="3">
        <v>722213</v>
      </c>
      <c r="F621" s="3">
        <v>-86468</v>
      </c>
      <c r="G621" s="3">
        <v>635745</v>
      </c>
      <c r="H621" s="1" t="s">
        <v>0</v>
      </c>
      <c r="I621" s="1" t="s">
        <v>2</v>
      </c>
      <c r="J621" s="1" t="s">
        <v>76</v>
      </c>
      <c r="K621" s="2"/>
      <c r="L621" s="14">
        <v>47544021</v>
      </c>
      <c r="M621" t="s">
        <v>1282</v>
      </c>
      <c r="N621" s="12">
        <v>41754150</v>
      </c>
      <c r="O621" t="s">
        <v>1355</v>
      </c>
    </row>
    <row r="622" spans="1:15" x14ac:dyDescent="0.35">
      <c r="A622" s="1" t="s">
        <v>187</v>
      </c>
      <c r="B622" s="1" t="s">
        <v>4</v>
      </c>
      <c r="C622" s="1" t="s">
        <v>186</v>
      </c>
      <c r="D622" s="2">
        <v>45706</v>
      </c>
      <c r="E622" s="3">
        <v>17700000</v>
      </c>
      <c r="F622" s="3">
        <v>-2119151</v>
      </c>
      <c r="G622" s="3">
        <v>15580849</v>
      </c>
      <c r="H622" s="1" t="s">
        <v>0</v>
      </c>
      <c r="I622" s="1" t="s">
        <v>2</v>
      </c>
      <c r="J622" s="1" t="s">
        <v>76</v>
      </c>
      <c r="K622" s="2"/>
      <c r="L622" s="14">
        <v>47544021</v>
      </c>
      <c r="M622" t="s">
        <v>1282</v>
      </c>
      <c r="N622" s="12">
        <v>41754150</v>
      </c>
      <c r="O622" t="s">
        <v>1352</v>
      </c>
    </row>
    <row r="623" spans="1:15" x14ac:dyDescent="0.35">
      <c r="A623" s="1" t="s">
        <v>185</v>
      </c>
      <c r="B623" s="1" t="s">
        <v>4</v>
      </c>
      <c r="C623" s="1" t="s">
        <v>184</v>
      </c>
      <c r="D623" s="2">
        <v>45848</v>
      </c>
      <c r="E623" s="3">
        <v>85668068</v>
      </c>
      <c r="F623" s="3">
        <v>-6923857</v>
      </c>
      <c r="G623" s="3">
        <v>78744211</v>
      </c>
      <c r="H623" s="1" t="s">
        <v>0</v>
      </c>
      <c r="I623" s="1" t="s">
        <v>2</v>
      </c>
      <c r="J623" s="1" t="s">
        <v>76</v>
      </c>
      <c r="K623" s="2"/>
      <c r="L623" s="14">
        <v>47544021</v>
      </c>
      <c r="M623" t="s">
        <v>1282</v>
      </c>
      <c r="N623" s="12">
        <v>41754150</v>
      </c>
      <c r="O623" t="s">
        <v>1351</v>
      </c>
    </row>
    <row r="624" spans="1:15" x14ac:dyDescent="0.35">
      <c r="A624" s="1" t="s">
        <v>183</v>
      </c>
      <c r="B624" s="1" t="s">
        <v>4</v>
      </c>
      <c r="C624" s="1" t="s">
        <v>182</v>
      </c>
      <c r="D624" s="2">
        <v>45722</v>
      </c>
      <c r="E624" s="3">
        <v>29836010</v>
      </c>
      <c r="F624" s="3">
        <v>-3441359</v>
      </c>
      <c r="G624" s="3">
        <v>26394651</v>
      </c>
      <c r="H624" s="1" t="s">
        <v>0</v>
      </c>
      <c r="I624" s="1" t="s">
        <v>2</v>
      </c>
      <c r="J624" s="1" t="s">
        <v>76</v>
      </c>
      <c r="K624" s="2"/>
      <c r="L624" s="14">
        <v>47544013</v>
      </c>
      <c r="M624" t="s">
        <v>1284</v>
      </c>
      <c r="N624" s="12">
        <v>41754150</v>
      </c>
      <c r="O624" t="s">
        <v>1354</v>
      </c>
    </row>
    <row r="625" spans="1:19" hidden="1" x14ac:dyDescent="0.35">
      <c r="A625" s="1" t="s">
        <v>181</v>
      </c>
      <c r="B625" s="1" t="s">
        <v>4</v>
      </c>
      <c r="C625" s="1" t="s">
        <v>178</v>
      </c>
      <c r="D625" s="2">
        <v>45723</v>
      </c>
      <c r="E625" s="3">
        <v>9936500</v>
      </c>
      <c r="F625" s="3">
        <v>-2286756</v>
      </c>
      <c r="G625" s="3">
        <v>7649744</v>
      </c>
      <c r="H625" s="1" t="s">
        <v>0</v>
      </c>
      <c r="I625" s="1" t="s">
        <v>2</v>
      </c>
      <c r="J625" s="1" t="s">
        <v>56</v>
      </c>
      <c r="K625" s="2"/>
      <c r="L625" s="1">
        <v>47567102</v>
      </c>
      <c r="M625" t="s">
        <v>1273</v>
      </c>
      <c r="N625">
        <v>41756150</v>
      </c>
      <c r="O625" t="s">
        <v>1320</v>
      </c>
    </row>
    <row r="626" spans="1:19" hidden="1" x14ac:dyDescent="0.35">
      <c r="A626" s="1" t="s">
        <v>180</v>
      </c>
      <c r="B626" s="1" t="s">
        <v>4</v>
      </c>
      <c r="C626" s="1" t="s">
        <v>178</v>
      </c>
      <c r="D626" s="2">
        <v>45723</v>
      </c>
      <c r="E626" s="3">
        <v>9936500</v>
      </c>
      <c r="F626" s="3">
        <v>-2286756</v>
      </c>
      <c r="G626" s="3">
        <v>7649744</v>
      </c>
      <c r="H626" s="1" t="s">
        <v>0</v>
      </c>
      <c r="I626" s="1" t="s">
        <v>2</v>
      </c>
      <c r="J626" s="1" t="s">
        <v>56</v>
      </c>
      <c r="K626" s="2"/>
      <c r="L626" s="1">
        <v>47567102</v>
      </c>
      <c r="M626" t="s">
        <v>1273</v>
      </c>
      <c r="N626">
        <v>41756150</v>
      </c>
      <c r="O626" t="s">
        <v>1320</v>
      </c>
    </row>
    <row r="627" spans="1:19" hidden="1" x14ac:dyDescent="0.35">
      <c r="A627" s="1" t="s">
        <v>179</v>
      </c>
      <c r="B627" s="1" t="s">
        <v>4</v>
      </c>
      <c r="C627" s="1" t="s">
        <v>178</v>
      </c>
      <c r="D627" s="2">
        <v>45723</v>
      </c>
      <c r="E627" s="3">
        <v>9936500</v>
      </c>
      <c r="F627" s="3">
        <v>-2286756</v>
      </c>
      <c r="G627" s="3">
        <v>7649744</v>
      </c>
      <c r="H627" s="1" t="s">
        <v>0</v>
      </c>
      <c r="I627" s="1" t="s">
        <v>2</v>
      </c>
      <c r="J627" s="1" t="s">
        <v>56</v>
      </c>
      <c r="K627" s="2"/>
      <c r="L627" s="1">
        <v>47567102</v>
      </c>
      <c r="M627" t="s">
        <v>1273</v>
      </c>
      <c r="N627">
        <v>41756150</v>
      </c>
      <c r="O627" t="s">
        <v>1320</v>
      </c>
    </row>
    <row r="628" spans="1:19" hidden="1" x14ac:dyDescent="0.35">
      <c r="A628" s="1" t="s">
        <v>177</v>
      </c>
      <c r="B628" s="1" t="s">
        <v>4</v>
      </c>
      <c r="C628" s="1" t="s">
        <v>176</v>
      </c>
      <c r="D628" s="2">
        <v>45763</v>
      </c>
      <c r="E628" s="3">
        <v>10748640</v>
      </c>
      <c r="F628" s="3">
        <v>-2238073</v>
      </c>
      <c r="G628" s="3">
        <v>8510567</v>
      </c>
      <c r="H628" s="1" t="s">
        <v>0</v>
      </c>
      <c r="I628" s="1" t="s">
        <v>2</v>
      </c>
      <c r="J628" s="1" t="s">
        <v>56</v>
      </c>
      <c r="K628" s="2"/>
      <c r="L628" s="1">
        <v>47567102</v>
      </c>
      <c r="M628" t="s">
        <v>1273</v>
      </c>
      <c r="N628">
        <v>41756150</v>
      </c>
      <c r="O628" t="s">
        <v>1320</v>
      </c>
    </row>
    <row r="629" spans="1:19" x14ac:dyDescent="0.35">
      <c r="A629" s="1" t="s">
        <v>175</v>
      </c>
      <c r="B629" s="1" t="s">
        <v>4</v>
      </c>
      <c r="C629" s="1" t="s">
        <v>174</v>
      </c>
      <c r="D629" s="2">
        <v>45747</v>
      </c>
      <c r="E629" s="3">
        <v>17280802</v>
      </c>
      <c r="F629" s="3">
        <v>-1874849</v>
      </c>
      <c r="G629" s="3">
        <v>15405953</v>
      </c>
      <c r="H629" s="1" t="s">
        <v>0</v>
      </c>
      <c r="I629" s="1" t="s">
        <v>2</v>
      </c>
      <c r="J629" s="1" t="s">
        <v>76</v>
      </c>
      <c r="K629" s="2"/>
      <c r="L629" s="14">
        <v>47544021</v>
      </c>
      <c r="M629" t="s">
        <v>1282</v>
      </c>
      <c r="N629" s="12">
        <v>41754150</v>
      </c>
      <c r="O629" t="s">
        <v>1338</v>
      </c>
      <c r="S629" t="s">
        <v>1344</v>
      </c>
    </row>
    <row r="630" spans="1:19" x14ac:dyDescent="0.35">
      <c r="A630" s="1" t="s">
        <v>173</v>
      </c>
      <c r="B630" s="1" t="s">
        <v>4</v>
      </c>
      <c r="C630" s="1" t="s">
        <v>172</v>
      </c>
      <c r="D630" s="2">
        <v>45747</v>
      </c>
      <c r="E630" s="3">
        <v>11520553</v>
      </c>
      <c r="F630" s="3">
        <v>-1249901</v>
      </c>
      <c r="G630" s="3">
        <v>10270652</v>
      </c>
      <c r="H630" s="1" t="s">
        <v>0</v>
      </c>
      <c r="I630" s="1" t="s">
        <v>2</v>
      </c>
      <c r="J630" s="1" t="s">
        <v>76</v>
      </c>
      <c r="K630" s="2"/>
      <c r="L630" s="14">
        <v>47544021</v>
      </c>
      <c r="M630" t="s">
        <v>1282</v>
      </c>
      <c r="N630" s="12">
        <v>41754150</v>
      </c>
      <c r="O630" t="s">
        <v>1345</v>
      </c>
    </row>
    <row r="631" spans="1:19" x14ac:dyDescent="0.35">
      <c r="A631" s="1" t="s">
        <v>171</v>
      </c>
      <c r="B631" s="1" t="s">
        <v>4</v>
      </c>
      <c r="C631" s="1" t="s">
        <v>170</v>
      </c>
      <c r="D631" s="2">
        <v>45747</v>
      </c>
      <c r="E631" s="17">
        <v>10368505</v>
      </c>
      <c r="F631" s="17">
        <v>-1124911</v>
      </c>
      <c r="G631" s="17">
        <v>9243594</v>
      </c>
      <c r="H631" s="1" t="s">
        <v>0</v>
      </c>
      <c r="I631" s="1" t="s">
        <v>2</v>
      </c>
      <c r="J631" s="16" t="s">
        <v>76</v>
      </c>
      <c r="K631" s="2"/>
      <c r="L631" s="14">
        <v>47544024</v>
      </c>
      <c r="M631" t="s">
        <v>1275</v>
      </c>
      <c r="N631" s="12">
        <v>41754150</v>
      </c>
      <c r="O631" t="s">
        <v>1346</v>
      </c>
    </row>
    <row r="632" spans="1:19" x14ac:dyDescent="0.35">
      <c r="A632" s="1" t="s">
        <v>169</v>
      </c>
      <c r="B632" s="1" t="s">
        <v>4</v>
      </c>
      <c r="C632" s="1" t="s">
        <v>168</v>
      </c>
      <c r="D632" s="2">
        <v>45747</v>
      </c>
      <c r="E632" s="17">
        <v>12672604</v>
      </c>
      <c r="F632" s="17">
        <v>-1374891</v>
      </c>
      <c r="G632" s="17">
        <v>11297713</v>
      </c>
      <c r="H632" s="1" t="s">
        <v>0</v>
      </c>
      <c r="I632" s="1" t="s">
        <v>2</v>
      </c>
      <c r="J632" s="16" t="s">
        <v>76</v>
      </c>
      <c r="K632" s="2"/>
      <c r="L632" s="14">
        <v>47544024</v>
      </c>
      <c r="M632" t="s">
        <v>1275</v>
      </c>
      <c r="N632" s="12">
        <v>41754150</v>
      </c>
      <c r="O632" t="s">
        <v>1346</v>
      </c>
    </row>
    <row r="633" spans="1:19" x14ac:dyDescent="0.35">
      <c r="A633" s="1" t="s">
        <v>167</v>
      </c>
      <c r="B633" s="1" t="s">
        <v>4</v>
      </c>
      <c r="C633" s="1" t="s">
        <v>166</v>
      </c>
      <c r="D633" s="2">
        <v>45747</v>
      </c>
      <c r="E633" s="3">
        <v>11520553</v>
      </c>
      <c r="F633" s="3">
        <v>-1249901</v>
      </c>
      <c r="G633" s="3">
        <v>10270652</v>
      </c>
      <c r="H633" s="1" t="s">
        <v>0</v>
      </c>
      <c r="I633" s="1" t="s">
        <v>2</v>
      </c>
      <c r="J633" s="1" t="s">
        <v>165</v>
      </c>
      <c r="K633" s="2"/>
      <c r="L633" s="14">
        <v>47544021</v>
      </c>
      <c r="M633" t="s">
        <v>1282</v>
      </c>
      <c r="N633" s="12">
        <v>41754150</v>
      </c>
      <c r="O633" t="s">
        <v>1352</v>
      </c>
    </row>
    <row r="634" spans="1:19" x14ac:dyDescent="0.35">
      <c r="A634" s="1" t="s">
        <v>164</v>
      </c>
      <c r="B634" s="1" t="s">
        <v>4</v>
      </c>
      <c r="C634" s="1" t="s">
        <v>163</v>
      </c>
      <c r="D634" s="2">
        <v>45770</v>
      </c>
      <c r="E634" s="3">
        <v>2773964</v>
      </c>
      <c r="F634" s="3">
        <v>-283477</v>
      </c>
      <c r="G634" s="3">
        <v>2490487</v>
      </c>
      <c r="H634" s="1" t="s">
        <v>0</v>
      </c>
      <c r="I634" s="1" t="s">
        <v>2</v>
      </c>
      <c r="J634" s="1" t="s">
        <v>76</v>
      </c>
      <c r="K634" s="2"/>
      <c r="L634" s="14">
        <v>47544015</v>
      </c>
      <c r="M634" t="s">
        <v>1280</v>
      </c>
      <c r="N634" s="12">
        <v>41754150</v>
      </c>
      <c r="O634" t="s">
        <v>1346</v>
      </c>
    </row>
    <row r="635" spans="1:19" x14ac:dyDescent="0.35">
      <c r="A635" s="1" t="s">
        <v>162</v>
      </c>
      <c r="B635" s="1" t="s">
        <v>4</v>
      </c>
      <c r="C635" s="1" t="s">
        <v>161</v>
      </c>
      <c r="D635" s="2">
        <v>45948</v>
      </c>
      <c r="E635" s="17">
        <v>566440000</v>
      </c>
      <c r="F635" s="17">
        <v>-30261863</v>
      </c>
      <c r="G635" s="17">
        <v>536178137</v>
      </c>
      <c r="H635" s="1" t="s">
        <v>0</v>
      </c>
      <c r="I635" s="1" t="s">
        <v>2</v>
      </c>
      <c r="J635" s="16" t="s">
        <v>76</v>
      </c>
      <c r="K635" s="2"/>
      <c r="L635" s="14">
        <v>47544024</v>
      </c>
      <c r="M635" t="s">
        <v>1275</v>
      </c>
      <c r="N635" s="12">
        <v>41754150</v>
      </c>
      <c r="O635" t="s">
        <v>1338</v>
      </c>
    </row>
    <row r="636" spans="1:19" hidden="1" x14ac:dyDescent="0.35">
      <c r="A636" s="1" t="s">
        <v>160</v>
      </c>
      <c r="B636" s="1" t="s">
        <v>4</v>
      </c>
      <c r="C636" s="1" t="s">
        <v>159</v>
      </c>
      <c r="D636" s="2">
        <v>45782</v>
      </c>
      <c r="E636" s="3">
        <v>3510500</v>
      </c>
      <c r="F636" s="3">
        <v>-694405</v>
      </c>
      <c r="G636" s="3">
        <v>2816095</v>
      </c>
      <c r="H636" s="1" t="s">
        <v>0</v>
      </c>
      <c r="I636" s="1" t="s">
        <v>2</v>
      </c>
      <c r="J636" s="1" t="s">
        <v>56</v>
      </c>
      <c r="K636" s="2"/>
      <c r="L636" s="1">
        <v>47567064</v>
      </c>
      <c r="M636" t="s">
        <v>1271</v>
      </c>
      <c r="N636">
        <v>41756150</v>
      </c>
      <c r="O636" t="s">
        <v>1321</v>
      </c>
    </row>
    <row r="637" spans="1:19" x14ac:dyDescent="0.35">
      <c r="A637" s="1" t="s">
        <v>158</v>
      </c>
      <c r="B637" s="1" t="s">
        <v>4</v>
      </c>
      <c r="C637" s="1" t="s">
        <v>157</v>
      </c>
      <c r="D637" s="2">
        <v>45808</v>
      </c>
      <c r="E637" s="17">
        <v>64691063</v>
      </c>
      <c r="F637" s="17">
        <v>-5828101</v>
      </c>
      <c r="G637" s="17">
        <v>58862962</v>
      </c>
      <c r="H637" s="1" t="s">
        <v>0</v>
      </c>
      <c r="I637" s="1" t="s">
        <v>2</v>
      </c>
      <c r="J637" s="16" t="s">
        <v>76</v>
      </c>
      <c r="K637" s="2"/>
      <c r="L637" s="14">
        <v>47544024</v>
      </c>
      <c r="M637" t="s">
        <v>1275</v>
      </c>
      <c r="N637" s="12">
        <v>41754150</v>
      </c>
      <c r="O637" t="s">
        <v>1339</v>
      </c>
    </row>
    <row r="638" spans="1:19" x14ac:dyDescent="0.35">
      <c r="A638" s="1" t="s">
        <v>156</v>
      </c>
      <c r="B638" s="1" t="s">
        <v>4</v>
      </c>
      <c r="C638" s="1" t="s">
        <v>155</v>
      </c>
      <c r="D638" s="2">
        <v>45808</v>
      </c>
      <c r="E638" s="17">
        <v>64691063</v>
      </c>
      <c r="F638" s="17">
        <v>-5828101</v>
      </c>
      <c r="G638" s="17">
        <v>58862962</v>
      </c>
      <c r="H638" s="1" t="s">
        <v>0</v>
      </c>
      <c r="I638" s="1" t="s">
        <v>2</v>
      </c>
      <c r="J638" s="16" t="s">
        <v>76</v>
      </c>
      <c r="K638" s="2"/>
      <c r="L638" s="14">
        <v>47544024</v>
      </c>
      <c r="M638" t="s">
        <v>1275</v>
      </c>
      <c r="N638" s="12">
        <v>41754150</v>
      </c>
      <c r="O638" t="s">
        <v>1339</v>
      </c>
    </row>
    <row r="639" spans="1:19" hidden="1" x14ac:dyDescent="0.35">
      <c r="A639" s="1" t="s">
        <v>154</v>
      </c>
      <c r="B639" s="1" t="s">
        <v>4</v>
      </c>
      <c r="C639" s="1" t="s">
        <v>152</v>
      </c>
      <c r="D639" s="2">
        <v>45804</v>
      </c>
      <c r="E639" s="3">
        <v>10317300</v>
      </c>
      <c r="F639" s="3">
        <v>-1916474</v>
      </c>
      <c r="G639" s="3">
        <v>8400826</v>
      </c>
      <c r="H639" s="1" t="s">
        <v>0</v>
      </c>
      <c r="I639" s="1" t="s">
        <v>2</v>
      </c>
      <c r="J639" s="1" t="s">
        <v>56</v>
      </c>
      <c r="K639" s="2"/>
      <c r="L639" s="1">
        <v>47567063</v>
      </c>
      <c r="M639" t="s">
        <v>1293</v>
      </c>
      <c r="N639">
        <v>41756150</v>
      </c>
      <c r="O639" t="s">
        <v>1323</v>
      </c>
    </row>
    <row r="640" spans="1:19" hidden="1" x14ac:dyDescent="0.35">
      <c r="A640" s="1" t="s">
        <v>153</v>
      </c>
      <c r="B640" s="1" t="s">
        <v>4</v>
      </c>
      <c r="C640" s="1" t="s">
        <v>152</v>
      </c>
      <c r="D640" s="2">
        <v>45804</v>
      </c>
      <c r="E640" s="3">
        <v>10317300</v>
      </c>
      <c r="F640" s="3">
        <v>-1916474</v>
      </c>
      <c r="G640" s="3">
        <v>8400826</v>
      </c>
      <c r="H640" s="1" t="s">
        <v>0</v>
      </c>
      <c r="I640" s="1" t="s">
        <v>2</v>
      </c>
      <c r="J640" s="1" t="s">
        <v>56</v>
      </c>
      <c r="K640" s="2"/>
      <c r="L640" s="1">
        <v>47567063</v>
      </c>
      <c r="M640" t="s">
        <v>1293</v>
      </c>
      <c r="N640">
        <v>41756150</v>
      </c>
      <c r="O640" t="s">
        <v>1323</v>
      </c>
    </row>
    <row r="641" spans="1:15" hidden="1" x14ac:dyDescent="0.35">
      <c r="A641" s="1" t="s">
        <v>151</v>
      </c>
      <c r="B641" s="1" t="s">
        <v>4</v>
      </c>
      <c r="C641" s="1" t="s">
        <v>146</v>
      </c>
      <c r="D641" s="2">
        <v>45804</v>
      </c>
      <c r="E641" s="3">
        <v>2594200</v>
      </c>
      <c r="F641" s="3">
        <v>-481882</v>
      </c>
      <c r="G641" s="3">
        <v>2112318</v>
      </c>
      <c r="H641" s="1" t="s">
        <v>0</v>
      </c>
      <c r="I641" s="1" t="s">
        <v>2</v>
      </c>
      <c r="J641" s="1" t="s">
        <v>56</v>
      </c>
      <c r="K641" s="2"/>
      <c r="L641" s="1">
        <v>47567081</v>
      </c>
      <c r="M641" t="s">
        <v>1274</v>
      </c>
      <c r="N641">
        <v>41756150</v>
      </c>
      <c r="O641" t="s">
        <v>1316</v>
      </c>
    </row>
    <row r="642" spans="1:15" hidden="1" x14ac:dyDescent="0.35">
      <c r="A642" s="1" t="s">
        <v>150</v>
      </c>
      <c r="B642" s="1" t="s">
        <v>4</v>
      </c>
      <c r="C642" s="1" t="s">
        <v>146</v>
      </c>
      <c r="D642" s="2">
        <v>45804</v>
      </c>
      <c r="E642" s="3">
        <v>2594200</v>
      </c>
      <c r="F642" s="3">
        <v>-481882</v>
      </c>
      <c r="G642" s="3">
        <v>2112318</v>
      </c>
      <c r="H642" s="1" t="s">
        <v>0</v>
      </c>
      <c r="I642" s="1" t="s">
        <v>2</v>
      </c>
      <c r="J642" s="1" t="s">
        <v>56</v>
      </c>
      <c r="K642" s="2"/>
      <c r="L642" s="1">
        <v>47511023</v>
      </c>
      <c r="M642" t="s">
        <v>1302</v>
      </c>
      <c r="N642">
        <v>41751150</v>
      </c>
      <c r="O642" t="s">
        <v>1324</v>
      </c>
    </row>
    <row r="643" spans="1:15" hidden="1" x14ac:dyDescent="0.35">
      <c r="A643" s="1" t="s">
        <v>149</v>
      </c>
      <c r="B643" s="1" t="s">
        <v>4</v>
      </c>
      <c r="C643" s="1" t="s">
        <v>146</v>
      </c>
      <c r="D643" s="2">
        <v>45804</v>
      </c>
      <c r="E643" s="3">
        <v>2594200</v>
      </c>
      <c r="F643" s="3">
        <v>-481882</v>
      </c>
      <c r="G643" s="3">
        <v>2112318</v>
      </c>
      <c r="H643" s="1" t="s">
        <v>0</v>
      </c>
      <c r="I643" s="1" t="s">
        <v>2</v>
      </c>
      <c r="J643" s="1" t="s">
        <v>56</v>
      </c>
      <c r="K643" s="2"/>
      <c r="L643" s="1">
        <v>47567041</v>
      </c>
      <c r="M643" t="s">
        <v>1291</v>
      </c>
      <c r="N643">
        <v>41756150</v>
      </c>
      <c r="O643" t="s">
        <v>1319</v>
      </c>
    </row>
    <row r="644" spans="1:15" x14ac:dyDescent="0.35">
      <c r="A644" s="1" t="s">
        <v>148</v>
      </c>
      <c r="B644" s="1" t="s">
        <v>4</v>
      </c>
      <c r="C644" s="1" t="s">
        <v>146</v>
      </c>
      <c r="D644" s="2">
        <v>45804</v>
      </c>
      <c r="E644" s="3">
        <v>2594200</v>
      </c>
      <c r="F644" s="3">
        <v>-481882</v>
      </c>
      <c r="G644" s="3">
        <v>2112318</v>
      </c>
      <c r="H644" s="1" t="s">
        <v>0</v>
      </c>
      <c r="I644" s="1" t="s">
        <v>2</v>
      </c>
      <c r="J644" s="1" t="s">
        <v>56</v>
      </c>
      <c r="K644" s="2"/>
      <c r="L644" s="14">
        <v>47544021</v>
      </c>
      <c r="M644" t="s">
        <v>1282</v>
      </c>
      <c r="N644" s="12">
        <v>41754150</v>
      </c>
      <c r="O644" t="s">
        <v>1314</v>
      </c>
    </row>
    <row r="645" spans="1:15" hidden="1" x14ac:dyDescent="0.35">
      <c r="A645" s="1" t="s">
        <v>147</v>
      </c>
      <c r="B645" s="1" t="s">
        <v>4</v>
      </c>
      <c r="C645" s="1" t="s">
        <v>146</v>
      </c>
      <c r="D645" s="2">
        <v>45804</v>
      </c>
      <c r="E645" s="3">
        <v>2594200</v>
      </c>
      <c r="F645" s="3">
        <v>-481882</v>
      </c>
      <c r="G645" s="3">
        <v>2112318</v>
      </c>
      <c r="H645" s="1" t="s">
        <v>0</v>
      </c>
      <c r="I645" s="1" t="s">
        <v>2</v>
      </c>
      <c r="J645" s="1" t="s">
        <v>56</v>
      </c>
      <c r="K645" s="2"/>
      <c r="L645" s="1">
        <v>47567015</v>
      </c>
      <c r="M645" t="s">
        <v>1272</v>
      </c>
      <c r="N645">
        <v>41756150</v>
      </c>
      <c r="O645" t="s">
        <v>1315</v>
      </c>
    </row>
    <row r="646" spans="1:15" hidden="1" x14ac:dyDescent="0.35">
      <c r="A646" s="1" t="s">
        <v>145</v>
      </c>
      <c r="B646" s="1" t="s">
        <v>4</v>
      </c>
      <c r="C646" s="1" t="s">
        <v>142</v>
      </c>
      <c r="D646" s="2">
        <v>45798</v>
      </c>
      <c r="E646" s="3">
        <v>4010300</v>
      </c>
      <c r="F646" s="3">
        <v>-758112</v>
      </c>
      <c r="G646" s="3">
        <v>3252188</v>
      </c>
      <c r="H646" s="1" t="s">
        <v>0</v>
      </c>
      <c r="I646" s="1" t="s">
        <v>2</v>
      </c>
      <c r="J646" s="1" t="s">
        <v>56</v>
      </c>
      <c r="K646" s="2"/>
      <c r="L646" s="1">
        <v>47567061</v>
      </c>
      <c r="M646" t="s">
        <v>1307</v>
      </c>
      <c r="N646">
        <v>41756150</v>
      </c>
      <c r="O646" t="s">
        <v>1323</v>
      </c>
    </row>
    <row r="647" spans="1:15" hidden="1" x14ac:dyDescent="0.35">
      <c r="A647" s="1" t="s">
        <v>144</v>
      </c>
      <c r="B647" s="1" t="s">
        <v>4</v>
      </c>
      <c r="C647" s="1" t="s">
        <v>142</v>
      </c>
      <c r="D647" s="2">
        <v>45798</v>
      </c>
      <c r="E647" s="3">
        <v>4010300</v>
      </c>
      <c r="F647" s="3">
        <v>-758112</v>
      </c>
      <c r="G647" s="3">
        <v>3252188</v>
      </c>
      <c r="H647" s="1" t="s">
        <v>0</v>
      </c>
      <c r="I647" s="1" t="s">
        <v>2</v>
      </c>
      <c r="J647" s="1" t="s">
        <v>56</v>
      </c>
      <c r="K647" s="2"/>
      <c r="L647" s="1">
        <v>47567062</v>
      </c>
      <c r="M647" t="s">
        <v>1292</v>
      </c>
      <c r="N647">
        <v>41756150</v>
      </c>
      <c r="O647" t="s">
        <v>1323</v>
      </c>
    </row>
    <row r="648" spans="1:15" hidden="1" x14ac:dyDescent="0.35">
      <c r="A648" s="1" t="s">
        <v>143</v>
      </c>
      <c r="B648" s="1" t="s">
        <v>4</v>
      </c>
      <c r="C648" s="1" t="s">
        <v>142</v>
      </c>
      <c r="D648" s="2">
        <v>45798</v>
      </c>
      <c r="E648" s="3">
        <v>4010300</v>
      </c>
      <c r="F648" s="3">
        <v>-758112</v>
      </c>
      <c r="G648" s="3">
        <v>3252188</v>
      </c>
      <c r="H648" s="1" t="s">
        <v>0</v>
      </c>
      <c r="I648" s="1" t="s">
        <v>2</v>
      </c>
      <c r="J648" s="1" t="s">
        <v>56</v>
      </c>
      <c r="K648" s="2"/>
      <c r="L648" s="1">
        <v>47567061</v>
      </c>
      <c r="M648" t="s">
        <v>1307</v>
      </c>
      <c r="N648">
        <v>41756150</v>
      </c>
      <c r="O648" t="s">
        <v>1323</v>
      </c>
    </row>
    <row r="649" spans="1:15" hidden="1" x14ac:dyDescent="0.35">
      <c r="A649" s="1" t="s">
        <v>141</v>
      </c>
      <c r="B649" s="1" t="s">
        <v>4</v>
      </c>
      <c r="C649" s="1" t="s">
        <v>140</v>
      </c>
      <c r="D649" s="2">
        <v>45798</v>
      </c>
      <c r="E649" s="3">
        <v>3296181</v>
      </c>
      <c r="F649" s="3">
        <v>-623113</v>
      </c>
      <c r="G649" s="3">
        <v>2673068</v>
      </c>
      <c r="H649" s="1" t="s">
        <v>0</v>
      </c>
      <c r="I649" s="1" t="s">
        <v>2</v>
      </c>
      <c r="J649" s="1" t="s">
        <v>56</v>
      </c>
      <c r="K649" s="2"/>
      <c r="L649" s="1">
        <v>47502031</v>
      </c>
      <c r="M649" t="s">
        <v>1279</v>
      </c>
      <c r="N649">
        <v>41750150</v>
      </c>
      <c r="O649" t="s">
        <v>1314</v>
      </c>
    </row>
    <row r="650" spans="1:15" x14ac:dyDescent="0.35">
      <c r="A650" s="1" t="s">
        <v>139</v>
      </c>
      <c r="B650" s="1" t="s">
        <v>4</v>
      </c>
      <c r="C650" s="1" t="s">
        <v>138</v>
      </c>
      <c r="D650" s="2">
        <v>45832</v>
      </c>
      <c r="E650" s="3">
        <v>34956012</v>
      </c>
      <c r="F650" s="3">
        <v>-2978444</v>
      </c>
      <c r="G650" s="3">
        <v>31977568</v>
      </c>
      <c r="H650" s="1" t="s">
        <v>0</v>
      </c>
      <c r="I650" s="1" t="s">
        <v>2</v>
      </c>
      <c r="J650" s="1" t="s">
        <v>76</v>
      </c>
      <c r="K650" s="2"/>
      <c r="L650" s="20">
        <v>47544013</v>
      </c>
      <c r="M650" t="s">
        <v>1284</v>
      </c>
      <c r="N650" s="12">
        <v>41754150</v>
      </c>
      <c r="O650" t="s">
        <v>1317</v>
      </c>
    </row>
    <row r="651" spans="1:15" x14ac:dyDescent="0.35">
      <c r="A651" s="1" t="s">
        <v>137</v>
      </c>
      <c r="B651" s="1" t="s">
        <v>4</v>
      </c>
      <c r="C651" s="1" t="s">
        <v>136</v>
      </c>
      <c r="D651" s="2">
        <v>45945</v>
      </c>
      <c r="E651" s="3">
        <v>45896002</v>
      </c>
      <c r="F651" s="3">
        <v>-2489701</v>
      </c>
      <c r="G651" s="3">
        <v>43406301</v>
      </c>
      <c r="H651" s="1" t="s">
        <v>0</v>
      </c>
      <c r="I651" s="1" t="s">
        <v>2</v>
      </c>
      <c r="J651" s="1" t="s">
        <v>76</v>
      </c>
      <c r="K651" s="2"/>
      <c r="L651" s="14">
        <v>47544013</v>
      </c>
      <c r="M651" t="s">
        <v>1284</v>
      </c>
      <c r="N651" s="12">
        <v>41754150</v>
      </c>
      <c r="O651" t="s">
        <v>1354</v>
      </c>
    </row>
    <row r="652" spans="1:15" hidden="1" x14ac:dyDescent="0.35">
      <c r="A652" s="1" t="s">
        <v>135</v>
      </c>
      <c r="B652" s="1" t="s">
        <v>4</v>
      </c>
      <c r="C652" s="1" t="s">
        <v>134</v>
      </c>
      <c r="D652" s="2">
        <v>45854</v>
      </c>
      <c r="E652" s="3">
        <v>10914725</v>
      </c>
      <c r="F652" s="3">
        <v>-1728414</v>
      </c>
      <c r="G652" s="3">
        <v>9186311</v>
      </c>
      <c r="H652" s="1" t="s">
        <v>0</v>
      </c>
      <c r="I652" s="1" t="s">
        <v>2</v>
      </c>
      <c r="J652" s="1" t="s">
        <v>56</v>
      </c>
      <c r="K652" s="2"/>
      <c r="L652" s="1">
        <v>47567041</v>
      </c>
      <c r="M652" t="s">
        <v>1291</v>
      </c>
      <c r="N652">
        <v>41756150</v>
      </c>
      <c r="O652" t="s">
        <v>1319</v>
      </c>
    </row>
    <row r="653" spans="1:15" x14ac:dyDescent="0.35">
      <c r="A653" s="1" t="s">
        <v>133</v>
      </c>
      <c r="B653" s="1" t="s">
        <v>4</v>
      </c>
      <c r="C653" s="1" t="s">
        <v>132</v>
      </c>
      <c r="D653" s="2">
        <v>46009</v>
      </c>
      <c r="E653" s="3">
        <v>66666984</v>
      </c>
      <c r="F653" s="3">
        <v>-4851364</v>
      </c>
      <c r="G653" s="3">
        <v>61815620</v>
      </c>
      <c r="H653" s="1" t="s">
        <v>0</v>
      </c>
      <c r="I653" s="1" t="s">
        <v>2</v>
      </c>
      <c r="J653" s="1" t="s">
        <v>129</v>
      </c>
      <c r="K653" s="2"/>
      <c r="L653" s="14">
        <v>47544021</v>
      </c>
      <c r="M653" t="s">
        <v>1282</v>
      </c>
      <c r="N653" s="12">
        <v>41754150</v>
      </c>
      <c r="O653" t="s">
        <v>1352</v>
      </c>
    </row>
    <row r="654" spans="1:15" x14ac:dyDescent="0.35">
      <c r="A654" s="1" t="s">
        <v>131</v>
      </c>
      <c r="B654" s="1" t="s">
        <v>4</v>
      </c>
      <c r="C654" s="1" t="s">
        <v>130</v>
      </c>
      <c r="D654" s="2">
        <v>46009</v>
      </c>
      <c r="E654" s="3">
        <v>75345526</v>
      </c>
      <c r="F654" s="3">
        <v>-5482902</v>
      </c>
      <c r="G654" s="3">
        <v>69862624</v>
      </c>
      <c r="H654" s="1" t="s">
        <v>0</v>
      </c>
      <c r="I654" s="1" t="s">
        <v>2</v>
      </c>
      <c r="J654" s="1" t="s">
        <v>129</v>
      </c>
      <c r="K654" s="2"/>
      <c r="L654" s="14">
        <v>47544021</v>
      </c>
      <c r="M654" t="s">
        <v>1282</v>
      </c>
      <c r="N654" s="12">
        <v>41754150</v>
      </c>
      <c r="O654" t="s">
        <v>1352</v>
      </c>
    </row>
    <row r="655" spans="1:15" hidden="1" x14ac:dyDescent="0.35">
      <c r="A655" s="1" t="s">
        <v>128</v>
      </c>
      <c r="B655" s="1" t="s">
        <v>4</v>
      </c>
      <c r="C655" s="1" t="s">
        <v>127</v>
      </c>
      <c r="D655" s="2">
        <v>45831</v>
      </c>
      <c r="E655" s="3">
        <v>9686600</v>
      </c>
      <c r="F655" s="3">
        <v>-1656010</v>
      </c>
      <c r="G655" s="3">
        <v>8030590</v>
      </c>
      <c r="H655" s="1" t="s">
        <v>0</v>
      </c>
      <c r="I655" s="1" t="s">
        <v>2</v>
      </c>
      <c r="J655" s="1" t="s">
        <v>56</v>
      </c>
      <c r="K655" s="2"/>
      <c r="L655" s="1">
        <v>47567063</v>
      </c>
      <c r="M655" t="s">
        <v>1293</v>
      </c>
      <c r="N655">
        <v>41756150</v>
      </c>
      <c r="O655" t="s">
        <v>1323</v>
      </c>
    </row>
    <row r="656" spans="1:15" hidden="1" x14ac:dyDescent="0.35">
      <c r="A656" s="1" t="s">
        <v>126</v>
      </c>
      <c r="B656" s="1" t="s">
        <v>4</v>
      </c>
      <c r="C656" s="1" t="s">
        <v>125</v>
      </c>
      <c r="D656" s="2">
        <v>45831</v>
      </c>
      <c r="E656" s="3">
        <v>9686600</v>
      </c>
      <c r="F656" s="3">
        <v>-1656010</v>
      </c>
      <c r="G656" s="3">
        <v>8030590</v>
      </c>
      <c r="H656" s="1" t="s">
        <v>0</v>
      </c>
      <c r="I656" s="1" t="s">
        <v>2</v>
      </c>
      <c r="J656" s="1" t="s">
        <v>56</v>
      </c>
      <c r="K656" s="2"/>
      <c r="L656" s="1">
        <v>47567063</v>
      </c>
      <c r="M656" t="s">
        <v>1293</v>
      </c>
      <c r="N656">
        <v>41756150</v>
      </c>
      <c r="O656" t="s">
        <v>1323</v>
      </c>
    </row>
    <row r="657" spans="1:15" hidden="1" x14ac:dyDescent="0.35">
      <c r="A657" s="1" t="s">
        <v>124</v>
      </c>
      <c r="B657" s="1" t="s">
        <v>4</v>
      </c>
      <c r="C657" s="1" t="s">
        <v>123</v>
      </c>
      <c r="D657" s="2">
        <v>45832</v>
      </c>
      <c r="E657" s="3">
        <v>5065830</v>
      </c>
      <c r="F657" s="3">
        <v>-863273</v>
      </c>
      <c r="G657" s="3">
        <v>4202557</v>
      </c>
      <c r="H657" s="1" t="s">
        <v>0</v>
      </c>
      <c r="I657" s="1" t="s">
        <v>2</v>
      </c>
      <c r="J657" s="1" t="s">
        <v>56</v>
      </c>
      <c r="K657" s="2"/>
      <c r="L657" s="1">
        <v>47500000</v>
      </c>
      <c r="M657" t="s">
        <v>1295</v>
      </c>
      <c r="N657">
        <v>41750150</v>
      </c>
      <c r="O657" t="s">
        <v>1314</v>
      </c>
    </row>
    <row r="658" spans="1:15" x14ac:dyDescent="0.35">
      <c r="A658" s="1" t="s">
        <v>122</v>
      </c>
      <c r="B658" s="1" t="s">
        <v>4</v>
      </c>
      <c r="C658" s="1" t="s">
        <v>121</v>
      </c>
      <c r="D658" s="2">
        <v>45688</v>
      </c>
      <c r="E658" s="3">
        <v>26288678</v>
      </c>
      <c r="F658" s="3">
        <v>-3277081</v>
      </c>
      <c r="G658" s="3">
        <v>23011597</v>
      </c>
      <c r="H658" s="1" t="s">
        <v>0</v>
      </c>
      <c r="I658" s="1" t="s">
        <v>2</v>
      </c>
      <c r="J658" s="1" t="s">
        <v>76</v>
      </c>
      <c r="K658" s="2"/>
      <c r="L658" s="14">
        <v>47544021</v>
      </c>
      <c r="M658" t="s">
        <v>1282</v>
      </c>
      <c r="N658" s="12">
        <v>41754150</v>
      </c>
      <c r="O658" t="s">
        <v>1352</v>
      </c>
    </row>
    <row r="659" spans="1:15" x14ac:dyDescent="0.35">
      <c r="A659" s="1" t="s">
        <v>120</v>
      </c>
      <c r="B659" s="1" t="s">
        <v>4</v>
      </c>
      <c r="C659" s="1" t="s">
        <v>119</v>
      </c>
      <c r="D659" s="2">
        <v>46056</v>
      </c>
      <c r="E659" s="3">
        <v>28058640</v>
      </c>
      <c r="F659" s="3">
        <v>-668795</v>
      </c>
      <c r="G659" s="3">
        <v>27389845</v>
      </c>
      <c r="H659" s="1" t="s">
        <v>0</v>
      </c>
      <c r="I659" s="1" t="s">
        <v>2</v>
      </c>
      <c r="J659" s="1" t="s">
        <v>76</v>
      </c>
      <c r="K659" s="2"/>
      <c r="L659" s="14">
        <v>47544021</v>
      </c>
      <c r="M659" t="s">
        <v>1282</v>
      </c>
      <c r="N659" s="12">
        <v>41754150</v>
      </c>
      <c r="O659" t="s">
        <v>1352</v>
      </c>
    </row>
    <row r="660" spans="1:15" hidden="1" x14ac:dyDescent="0.35">
      <c r="A660" s="1" t="s">
        <v>118</v>
      </c>
      <c r="B660" s="1" t="s">
        <v>4</v>
      </c>
      <c r="C660" s="1" t="s">
        <v>115</v>
      </c>
      <c r="D660" s="2">
        <v>45868</v>
      </c>
      <c r="E660" s="3">
        <v>3326050</v>
      </c>
      <c r="F660" s="3">
        <v>-501185</v>
      </c>
      <c r="G660" s="3">
        <v>2824865</v>
      </c>
      <c r="H660" s="1" t="s">
        <v>0</v>
      </c>
      <c r="I660" s="1" t="s">
        <v>2</v>
      </c>
      <c r="J660" s="1" t="s">
        <v>56</v>
      </c>
      <c r="K660" s="2"/>
      <c r="L660" s="1">
        <v>47544010</v>
      </c>
      <c r="M660" t="s">
        <v>1296</v>
      </c>
      <c r="N660">
        <v>41754150</v>
      </c>
      <c r="O660" t="s">
        <v>1314</v>
      </c>
    </row>
    <row r="661" spans="1:15" hidden="1" x14ac:dyDescent="0.35">
      <c r="A661" s="1" t="s">
        <v>117</v>
      </c>
      <c r="B661" s="1" t="s">
        <v>4</v>
      </c>
      <c r="C661" s="1" t="s">
        <v>115</v>
      </c>
      <c r="D661" s="2">
        <v>45868</v>
      </c>
      <c r="E661" s="3">
        <v>3326050</v>
      </c>
      <c r="F661" s="3">
        <v>-501185</v>
      </c>
      <c r="G661" s="3">
        <v>2824865</v>
      </c>
      <c r="H661" s="1" t="s">
        <v>0</v>
      </c>
      <c r="I661" s="1" t="s">
        <v>2</v>
      </c>
      <c r="J661" s="1" t="s">
        <v>56</v>
      </c>
      <c r="K661" s="2"/>
      <c r="L661" s="1">
        <v>47502031</v>
      </c>
      <c r="M661" t="s">
        <v>1279</v>
      </c>
      <c r="N661">
        <v>41750150</v>
      </c>
      <c r="O661" t="s">
        <v>1314</v>
      </c>
    </row>
    <row r="662" spans="1:15" hidden="1" x14ac:dyDescent="0.35">
      <c r="A662" s="1" t="s">
        <v>116</v>
      </c>
      <c r="B662" s="1" t="s">
        <v>4</v>
      </c>
      <c r="C662" s="1" t="s">
        <v>115</v>
      </c>
      <c r="D662" s="2">
        <v>45870</v>
      </c>
      <c r="E662" s="3">
        <v>3326050</v>
      </c>
      <c r="F662" s="3">
        <v>-497540</v>
      </c>
      <c r="G662" s="3">
        <v>2828510</v>
      </c>
      <c r="H662" s="1" t="s">
        <v>0</v>
      </c>
      <c r="I662" s="1" t="s">
        <v>2</v>
      </c>
      <c r="J662" s="1" t="s">
        <v>56</v>
      </c>
      <c r="K662" s="2"/>
      <c r="L662" s="1">
        <v>47544010</v>
      </c>
      <c r="M662" t="s">
        <v>1296</v>
      </c>
      <c r="N662">
        <v>41754150</v>
      </c>
      <c r="O662" t="s">
        <v>1314</v>
      </c>
    </row>
    <row r="663" spans="1:15" hidden="1" x14ac:dyDescent="0.35">
      <c r="A663" s="1" t="s">
        <v>114</v>
      </c>
      <c r="B663" s="1" t="s">
        <v>4</v>
      </c>
      <c r="C663" s="1" t="s">
        <v>113</v>
      </c>
      <c r="D663" s="2">
        <v>45882</v>
      </c>
      <c r="E663" s="3">
        <v>3326050</v>
      </c>
      <c r="F663" s="3">
        <v>-475671</v>
      </c>
      <c r="G663" s="3">
        <v>2850379</v>
      </c>
      <c r="H663" s="1" t="s">
        <v>0</v>
      </c>
      <c r="I663" s="1" t="s">
        <v>2</v>
      </c>
      <c r="J663" s="1" t="s">
        <v>56</v>
      </c>
      <c r="K663" s="2"/>
      <c r="L663" s="1">
        <v>47500041</v>
      </c>
      <c r="M663" t="s">
        <v>1298</v>
      </c>
      <c r="N663">
        <v>41750150</v>
      </c>
      <c r="O663" t="s">
        <v>1314</v>
      </c>
    </row>
    <row r="664" spans="1:15" x14ac:dyDescent="0.35">
      <c r="A664" s="1" t="s">
        <v>112</v>
      </c>
      <c r="B664" s="1" t="s">
        <v>4</v>
      </c>
      <c r="C664" s="1" t="s">
        <v>111</v>
      </c>
      <c r="D664" s="2">
        <v>46094</v>
      </c>
      <c r="E664" s="3">
        <v>76253406</v>
      </c>
      <c r="F664" s="3">
        <v>-1023676</v>
      </c>
      <c r="G664" s="3">
        <v>75229730</v>
      </c>
      <c r="H664" s="1" t="s">
        <v>0</v>
      </c>
      <c r="I664" s="1" t="s">
        <v>2</v>
      </c>
      <c r="J664" s="1" t="s">
        <v>76</v>
      </c>
      <c r="K664" s="2"/>
      <c r="L664" s="14">
        <v>47544021</v>
      </c>
      <c r="M664" t="s">
        <v>1282</v>
      </c>
      <c r="N664" s="12">
        <v>41754150</v>
      </c>
      <c r="O664" t="s">
        <v>1342</v>
      </c>
    </row>
    <row r="665" spans="1:15" x14ac:dyDescent="0.35">
      <c r="A665" s="1" t="s">
        <v>110</v>
      </c>
      <c r="B665" s="1" t="s">
        <v>4</v>
      </c>
      <c r="C665" s="1" t="s">
        <v>109</v>
      </c>
      <c r="D665" s="2">
        <v>45930</v>
      </c>
      <c r="E665" s="3">
        <v>57343498</v>
      </c>
      <c r="F665" s="3">
        <v>-3346347</v>
      </c>
      <c r="G665" s="3">
        <v>53997151</v>
      </c>
      <c r="H665" s="1" t="s">
        <v>0</v>
      </c>
      <c r="I665" s="1" t="s">
        <v>2</v>
      </c>
      <c r="J665" s="1" t="s">
        <v>76</v>
      </c>
      <c r="K665" s="2"/>
      <c r="L665" s="14">
        <v>47544013</v>
      </c>
      <c r="M665" t="s">
        <v>1284</v>
      </c>
      <c r="N665" s="12">
        <v>41754150</v>
      </c>
      <c r="O665" t="s">
        <v>1350</v>
      </c>
    </row>
    <row r="666" spans="1:15" x14ac:dyDescent="0.35">
      <c r="A666" s="1" t="s">
        <v>108</v>
      </c>
      <c r="B666" s="1" t="s">
        <v>4</v>
      </c>
      <c r="C666" s="1" t="s">
        <v>107</v>
      </c>
      <c r="D666" s="2">
        <v>46041</v>
      </c>
      <c r="E666" s="3">
        <v>125513811</v>
      </c>
      <c r="F666" s="3">
        <v>-3507509</v>
      </c>
      <c r="G666" s="3">
        <v>122006302</v>
      </c>
      <c r="H666" s="1" t="s">
        <v>0</v>
      </c>
      <c r="I666" s="1" t="s">
        <v>2</v>
      </c>
      <c r="J666" s="1" t="s">
        <v>76</v>
      </c>
      <c r="K666" s="2"/>
      <c r="L666" s="14">
        <v>47544013</v>
      </c>
      <c r="M666" t="s">
        <v>1284</v>
      </c>
      <c r="N666" s="12">
        <v>41754150</v>
      </c>
      <c r="O666" t="s">
        <v>1350</v>
      </c>
    </row>
    <row r="667" spans="1:15" hidden="1" x14ac:dyDescent="0.35">
      <c r="A667" s="1" t="s">
        <v>106</v>
      </c>
      <c r="B667" s="1" t="s">
        <v>4</v>
      </c>
      <c r="C667" s="1" t="s">
        <v>105</v>
      </c>
      <c r="D667" s="2">
        <v>45960</v>
      </c>
      <c r="E667" s="3">
        <v>3549774</v>
      </c>
      <c r="F667" s="3">
        <v>-355950</v>
      </c>
      <c r="G667" s="3">
        <v>3193824</v>
      </c>
      <c r="H667" s="1" t="s">
        <v>0</v>
      </c>
      <c r="I667" s="1" t="s">
        <v>2</v>
      </c>
      <c r="J667" s="1" t="s">
        <v>56</v>
      </c>
      <c r="K667" s="2"/>
      <c r="L667" s="1">
        <v>47567041</v>
      </c>
      <c r="M667" t="s">
        <v>1291</v>
      </c>
      <c r="N667">
        <v>41756150</v>
      </c>
      <c r="O667" t="s">
        <v>1319</v>
      </c>
    </row>
    <row r="668" spans="1:15" hidden="1" x14ac:dyDescent="0.35">
      <c r="A668" s="1" t="s">
        <v>104</v>
      </c>
      <c r="B668" s="1" t="s">
        <v>4</v>
      </c>
      <c r="C668" s="1" t="s">
        <v>103</v>
      </c>
      <c r="D668" s="2">
        <v>45936</v>
      </c>
      <c r="E668" s="3">
        <v>12378380</v>
      </c>
      <c r="F668" s="3">
        <v>-1404014</v>
      </c>
      <c r="G668" s="3">
        <v>10974366</v>
      </c>
      <c r="H668" s="1" t="s">
        <v>0</v>
      </c>
      <c r="I668" s="1" t="s">
        <v>2</v>
      </c>
      <c r="J668" s="1" t="s">
        <v>56</v>
      </c>
      <c r="K668" s="2"/>
      <c r="L668" s="1">
        <v>47567010</v>
      </c>
      <c r="M668" t="s">
        <v>1311</v>
      </c>
      <c r="N668">
        <v>41756150</v>
      </c>
      <c r="O668" t="s">
        <v>1323</v>
      </c>
    </row>
    <row r="669" spans="1:15" hidden="1" x14ac:dyDescent="0.35">
      <c r="A669" s="1" t="s">
        <v>102</v>
      </c>
      <c r="B669" s="1" t="s">
        <v>4</v>
      </c>
      <c r="C669" s="1" t="s">
        <v>99</v>
      </c>
      <c r="D669" s="2">
        <v>45918</v>
      </c>
      <c r="E669" s="3">
        <v>3201100</v>
      </c>
      <c r="F669" s="3">
        <v>-394656</v>
      </c>
      <c r="G669" s="3">
        <v>2806444</v>
      </c>
      <c r="H669" s="1" t="s">
        <v>0</v>
      </c>
      <c r="I669" s="1" t="s">
        <v>2</v>
      </c>
      <c r="J669" s="1" t="s">
        <v>56</v>
      </c>
      <c r="K669" s="2"/>
      <c r="L669" s="1">
        <v>47567015</v>
      </c>
      <c r="M669" t="s">
        <v>1272</v>
      </c>
      <c r="N669">
        <v>41756150</v>
      </c>
      <c r="O669" t="s">
        <v>1315</v>
      </c>
    </row>
    <row r="670" spans="1:15" hidden="1" x14ac:dyDescent="0.35">
      <c r="A670" s="1" t="s">
        <v>101</v>
      </c>
      <c r="B670" s="1" t="s">
        <v>4</v>
      </c>
      <c r="C670" s="1" t="s">
        <v>99</v>
      </c>
      <c r="D670" s="2">
        <v>45918</v>
      </c>
      <c r="E670" s="3">
        <v>3201100</v>
      </c>
      <c r="F670" s="3">
        <v>-394656</v>
      </c>
      <c r="G670" s="3">
        <v>2806444</v>
      </c>
      <c r="H670" s="1" t="s">
        <v>0</v>
      </c>
      <c r="I670" s="1" t="s">
        <v>2</v>
      </c>
      <c r="J670" s="1" t="s">
        <v>56</v>
      </c>
      <c r="K670" s="2"/>
      <c r="L670" s="1">
        <v>47567015</v>
      </c>
      <c r="M670" t="s">
        <v>1272</v>
      </c>
      <c r="N670">
        <v>41756150</v>
      </c>
      <c r="O670" t="s">
        <v>1315</v>
      </c>
    </row>
    <row r="671" spans="1:15" hidden="1" x14ac:dyDescent="0.35">
      <c r="A671" s="1" t="s">
        <v>100</v>
      </c>
      <c r="B671" s="1" t="s">
        <v>4</v>
      </c>
      <c r="C671" s="1" t="s">
        <v>99</v>
      </c>
      <c r="D671" s="2">
        <v>45918</v>
      </c>
      <c r="E671" s="3">
        <v>3201100</v>
      </c>
      <c r="F671" s="3">
        <v>-394656</v>
      </c>
      <c r="G671" s="3">
        <v>2806444</v>
      </c>
      <c r="H671" s="1" t="s">
        <v>0</v>
      </c>
      <c r="I671" s="1" t="s">
        <v>2</v>
      </c>
      <c r="J671" s="1" t="s">
        <v>56</v>
      </c>
      <c r="K671" s="2"/>
      <c r="L671" s="1">
        <v>47567015</v>
      </c>
      <c r="M671" t="s">
        <v>1272</v>
      </c>
      <c r="N671">
        <v>41756150</v>
      </c>
      <c r="O671" t="s">
        <v>1315</v>
      </c>
    </row>
    <row r="672" spans="1:15" hidden="1" x14ac:dyDescent="0.35">
      <c r="A672" s="1" t="s">
        <v>98</v>
      </c>
      <c r="B672" s="1" t="s">
        <v>4</v>
      </c>
      <c r="C672" s="1" t="s">
        <v>97</v>
      </c>
      <c r="D672" s="2">
        <v>45945</v>
      </c>
      <c r="E672" s="3">
        <v>9805600</v>
      </c>
      <c r="F672" s="3">
        <v>-1063841</v>
      </c>
      <c r="G672" s="3">
        <v>8741759</v>
      </c>
      <c r="H672" s="1" t="s">
        <v>0</v>
      </c>
      <c r="I672" s="1" t="s">
        <v>2</v>
      </c>
      <c r="J672" s="1" t="s">
        <v>56</v>
      </c>
      <c r="K672" s="2"/>
      <c r="L672" s="1">
        <v>47500000</v>
      </c>
      <c r="M672" t="s">
        <v>1295</v>
      </c>
      <c r="N672">
        <v>41750150</v>
      </c>
      <c r="O672" t="s">
        <v>1314</v>
      </c>
    </row>
    <row r="673" spans="1:15" x14ac:dyDescent="0.35">
      <c r="A673" s="1" t="s">
        <v>96</v>
      </c>
      <c r="B673" s="1" t="s">
        <v>4</v>
      </c>
      <c r="C673" s="1" t="s">
        <v>95</v>
      </c>
      <c r="D673" s="2">
        <v>45944</v>
      </c>
      <c r="E673" s="3">
        <v>57120000</v>
      </c>
      <c r="F673" s="3">
        <v>-3114214</v>
      </c>
      <c r="G673" s="3">
        <v>54005786</v>
      </c>
      <c r="H673" s="1" t="s">
        <v>0</v>
      </c>
      <c r="I673" s="1" t="s">
        <v>2</v>
      </c>
      <c r="J673" s="1" t="s">
        <v>76</v>
      </c>
      <c r="K673" s="2"/>
      <c r="L673" s="20">
        <v>47544013</v>
      </c>
      <c r="M673" t="s">
        <v>1284</v>
      </c>
      <c r="N673" s="12">
        <v>41754150</v>
      </c>
      <c r="O673" t="s">
        <v>1317</v>
      </c>
    </row>
    <row r="674" spans="1:15" hidden="1" x14ac:dyDescent="0.35">
      <c r="A674" s="1" t="s">
        <v>94</v>
      </c>
      <c r="B674" s="1" t="s">
        <v>4</v>
      </c>
      <c r="C674" s="1" t="s">
        <v>93</v>
      </c>
      <c r="D674" s="2">
        <v>45960</v>
      </c>
      <c r="E674" s="3">
        <v>10186400</v>
      </c>
      <c r="F674" s="3">
        <v>-1021431</v>
      </c>
      <c r="G674" s="3">
        <v>9164969</v>
      </c>
      <c r="H674" s="1" t="s">
        <v>0</v>
      </c>
      <c r="I674" s="1" t="s">
        <v>2</v>
      </c>
      <c r="J674" s="1" t="s">
        <v>56</v>
      </c>
      <c r="K674" s="2"/>
      <c r="L674" s="1">
        <v>47567061</v>
      </c>
      <c r="M674" t="s">
        <v>1307</v>
      </c>
      <c r="N674">
        <v>41756150</v>
      </c>
      <c r="O674" t="s">
        <v>1323</v>
      </c>
    </row>
    <row r="675" spans="1:15" hidden="1" x14ac:dyDescent="0.35">
      <c r="A675" s="1" t="s">
        <v>92</v>
      </c>
      <c r="B675" s="1" t="s">
        <v>4</v>
      </c>
      <c r="C675" s="1" t="s">
        <v>91</v>
      </c>
      <c r="D675" s="2">
        <v>45995</v>
      </c>
      <c r="E675" s="3">
        <v>242491536</v>
      </c>
      <c r="F675" s="3">
        <v>-9832533</v>
      </c>
      <c r="G675" s="3">
        <v>232659003</v>
      </c>
      <c r="H675" s="1" t="s">
        <v>0</v>
      </c>
      <c r="I675" s="1" t="s">
        <v>2</v>
      </c>
      <c r="J675" s="1" t="s">
        <v>76</v>
      </c>
      <c r="K675" s="2"/>
      <c r="L675" s="1">
        <v>47567101</v>
      </c>
      <c r="M675" t="s">
        <v>1270</v>
      </c>
      <c r="N675">
        <v>41756150</v>
      </c>
      <c r="O675" t="s">
        <v>1318</v>
      </c>
    </row>
    <row r="676" spans="1:15" hidden="1" x14ac:dyDescent="0.35">
      <c r="A676" s="1" t="s">
        <v>90</v>
      </c>
      <c r="B676" s="1" t="s">
        <v>4</v>
      </c>
      <c r="C676" s="1" t="s">
        <v>89</v>
      </c>
      <c r="D676" s="2">
        <v>45958</v>
      </c>
      <c r="E676" s="3">
        <v>10124520</v>
      </c>
      <c r="F676" s="3">
        <v>-438267</v>
      </c>
      <c r="G676" s="3">
        <v>9686253</v>
      </c>
      <c r="H676" s="1" t="s">
        <v>0</v>
      </c>
      <c r="I676" s="1" t="s">
        <v>2</v>
      </c>
      <c r="J676" s="1" t="s">
        <v>56</v>
      </c>
      <c r="K676" s="2"/>
      <c r="L676" s="1">
        <v>47567063</v>
      </c>
      <c r="M676" t="s">
        <v>1293</v>
      </c>
      <c r="N676">
        <v>41756150</v>
      </c>
      <c r="O676" t="s">
        <v>1323</v>
      </c>
    </row>
    <row r="677" spans="1:15" x14ac:dyDescent="0.35">
      <c r="A677" s="1" t="s">
        <v>88</v>
      </c>
      <c r="B677" s="1" t="s">
        <v>4</v>
      </c>
      <c r="C677" s="1" t="s">
        <v>87</v>
      </c>
      <c r="D677" s="2">
        <v>46008</v>
      </c>
      <c r="E677" s="3">
        <v>9768000</v>
      </c>
      <c r="F677" s="3">
        <v>-361282</v>
      </c>
      <c r="G677" s="3">
        <v>9406718</v>
      </c>
      <c r="H677" s="1" t="s">
        <v>0</v>
      </c>
      <c r="I677" s="1" t="s">
        <v>2</v>
      </c>
      <c r="J677" s="1" t="s">
        <v>76</v>
      </c>
      <c r="K677" s="2"/>
      <c r="L677" s="14">
        <v>47544018</v>
      </c>
      <c r="M677" t="s">
        <v>1281</v>
      </c>
      <c r="N677" s="12">
        <v>41754150</v>
      </c>
      <c r="O677" t="s">
        <v>1350</v>
      </c>
    </row>
    <row r="678" spans="1:15" hidden="1" x14ac:dyDescent="0.35">
      <c r="A678" s="1" t="s">
        <v>86</v>
      </c>
      <c r="B678" s="1" t="s">
        <v>4</v>
      </c>
      <c r="C678" s="1" t="s">
        <v>85</v>
      </c>
      <c r="D678" s="2">
        <v>46048</v>
      </c>
      <c r="E678" s="3">
        <v>4105500</v>
      </c>
      <c r="F678" s="3">
        <v>-213711</v>
      </c>
      <c r="G678" s="3">
        <v>3891789</v>
      </c>
      <c r="H678" s="1" t="s">
        <v>0</v>
      </c>
      <c r="I678" s="1" t="s">
        <v>2</v>
      </c>
      <c r="J678" s="1" t="s">
        <v>56</v>
      </c>
      <c r="K678" s="2"/>
      <c r="L678" s="1">
        <v>47567064</v>
      </c>
      <c r="M678" t="s">
        <v>1271</v>
      </c>
      <c r="N678">
        <v>41756150</v>
      </c>
      <c r="O678" t="s">
        <v>1321</v>
      </c>
    </row>
    <row r="679" spans="1:15" hidden="1" x14ac:dyDescent="0.35">
      <c r="A679" s="1" t="s">
        <v>84</v>
      </c>
      <c r="B679" s="1" t="s">
        <v>4</v>
      </c>
      <c r="C679" s="1" t="s">
        <v>83</v>
      </c>
      <c r="D679" s="2">
        <v>46062</v>
      </c>
      <c r="E679" s="3">
        <v>3403400</v>
      </c>
      <c r="F679" s="3">
        <v>-151055</v>
      </c>
      <c r="G679" s="3">
        <v>3252345</v>
      </c>
      <c r="H679" s="1" t="s">
        <v>0</v>
      </c>
      <c r="I679" s="1" t="s">
        <v>2</v>
      </c>
      <c r="J679" s="1" t="s">
        <v>56</v>
      </c>
      <c r="K679" s="2"/>
      <c r="L679" s="1">
        <v>47567041</v>
      </c>
      <c r="M679" t="s">
        <v>1291</v>
      </c>
      <c r="N679">
        <v>41756150</v>
      </c>
      <c r="O679" t="s">
        <v>1319</v>
      </c>
    </row>
    <row r="680" spans="1:15" hidden="1" x14ac:dyDescent="0.35">
      <c r="A680" s="1" t="s">
        <v>82</v>
      </c>
      <c r="B680" s="1" t="s">
        <v>4</v>
      </c>
      <c r="C680" s="1" t="s">
        <v>81</v>
      </c>
      <c r="D680" s="2">
        <v>46062</v>
      </c>
      <c r="E680" s="3">
        <v>3403400</v>
      </c>
      <c r="F680" s="3">
        <v>-151055</v>
      </c>
      <c r="G680" s="3">
        <v>3252345</v>
      </c>
      <c r="H680" s="1" t="s">
        <v>0</v>
      </c>
      <c r="I680" s="1" t="s">
        <v>2</v>
      </c>
      <c r="J680" s="1" t="s">
        <v>56</v>
      </c>
      <c r="K680" s="2"/>
      <c r="L680" s="1">
        <v>47502021</v>
      </c>
      <c r="M680" t="s">
        <v>1297</v>
      </c>
      <c r="N680">
        <v>41750150</v>
      </c>
      <c r="O680" t="s">
        <v>1314</v>
      </c>
    </row>
    <row r="681" spans="1:15" hidden="1" x14ac:dyDescent="0.35">
      <c r="A681" s="1" t="s">
        <v>80</v>
      </c>
      <c r="B681" s="1" t="s">
        <v>4</v>
      </c>
      <c r="C681" s="1" t="s">
        <v>79</v>
      </c>
      <c r="D681" s="2">
        <v>46062</v>
      </c>
      <c r="E681" s="3">
        <v>3403400</v>
      </c>
      <c r="F681" s="3">
        <v>-151055</v>
      </c>
      <c r="G681" s="3">
        <v>3252345</v>
      </c>
      <c r="H681" s="1" t="s">
        <v>0</v>
      </c>
      <c r="I681" s="1" t="s">
        <v>2</v>
      </c>
      <c r="J681" s="1" t="s">
        <v>56</v>
      </c>
      <c r="K681" s="2"/>
      <c r="L681" s="1">
        <v>47567041</v>
      </c>
      <c r="M681" t="s">
        <v>1291</v>
      </c>
      <c r="N681">
        <v>41756150</v>
      </c>
      <c r="O681" t="s">
        <v>1319</v>
      </c>
    </row>
    <row r="682" spans="1:15" x14ac:dyDescent="0.35">
      <c r="A682" s="1" t="s">
        <v>78</v>
      </c>
      <c r="B682" s="1" t="s">
        <v>4</v>
      </c>
      <c r="C682" s="1" t="s">
        <v>77</v>
      </c>
      <c r="D682" s="2">
        <v>46094</v>
      </c>
      <c r="E682" s="3">
        <v>13903424</v>
      </c>
      <c r="F682" s="3">
        <v>-186649</v>
      </c>
      <c r="G682" s="3">
        <v>13716775</v>
      </c>
      <c r="H682" s="1" t="s">
        <v>0</v>
      </c>
      <c r="I682" s="1" t="s">
        <v>2</v>
      </c>
      <c r="J682" s="1" t="s">
        <v>76</v>
      </c>
      <c r="K682" s="2"/>
      <c r="L682" s="14">
        <v>47544018</v>
      </c>
      <c r="M682" t="s">
        <v>1281</v>
      </c>
      <c r="N682" s="12">
        <v>41754150</v>
      </c>
      <c r="O682" t="s">
        <v>1347</v>
      </c>
    </row>
    <row r="683" spans="1:15" hidden="1" x14ac:dyDescent="0.35">
      <c r="A683" s="1" t="s">
        <v>75</v>
      </c>
      <c r="B683" s="1" t="s">
        <v>4</v>
      </c>
      <c r="C683" s="1" t="s">
        <v>74</v>
      </c>
      <c r="D683" s="2">
        <v>46118</v>
      </c>
      <c r="E683" s="3">
        <v>3783010</v>
      </c>
      <c r="F683" s="3">
        <v>-51822</v>
      </c>
      <c r="G683" s="3">
        <v>3731188</v>
      </c>
      <c r="H683" s="1" t="s">
        <v>0</v>
      </c>
      <c r="I683" s="1" t="s">
        <v>2</v>
      </c>
      <c r="J683" s="1" t="s">
        <v>56</v>
      </c>
      <c r="K683" s="2"/>
      <c r="L683" s="1">
        <v>47567041</v>
      </c>
      <c r="M683" t="s">
        <v>1291</v>
      </c>
      <c r="N683">
        <v>41756150</v>
      </c>
      <c r="O683" t="s">
        <v>1319</v>
      </c>
    </row>
    <row r="684" spans="1:15" hidden="1" x14ac:dyDescent="0.35">
      <c r="A684" s="1" t="s">
        <v>73</v>
      </c>
      <c r="B684" s="1" t="s">
        <v>4</v>
      </c>
      <c r="C684" s="1" t="s">
        <v>72</v>
      </c>
      <c r="D684" s="2">
        <v>46118</v>
      </c>
      <c r="E684" s="3">
        <v>3783010</v>
      </c>
      <c r="F684" s="3">
        <v>-51822</v>
      </c>
      <c r="G684" s="3">
        <v>3731188</v>
      </c>
      <c r="H684" s="1" t="s">
        <v>0</v>
      </c>
      <c r="I684" s="1" t="s">
        <v>2</v>
      </c>
      <c r="J684" s="1" t="s">
        <v>56</v>
      </c>
      <c r="K684" s="2"/>
      <c r="L684" s="1">
        <v>47500021</v>
      </c>
      <c r="M684" t="s">
        <v>1294</v>
      </c>
      <c r="N684">
        <v>41750150</v>
      </c>
      <c r="O684" t="s">
        <v>1314</v>
      </c>
    </row>
    <row r="685" spans="1:15" hidden="1" x14ac:dyDescent="0.35">
      <c r="A685" s="1" t="s">
        <v>71</v>
      </c>
      <c r="B685" s="1" t="s">
        <v>4</v>
      </c>
      <c r="C685" s="1" t="s">
        <v>70</v>
      </c>
      <c r="D685" s="2">
        <v>46118</v>
      </c>
      <c r="E685" s="3">
        <v>3783010</v>
      </c>
      <c r="F685" s="3">
        <v>-51822</v>
      </c>
      <c r="G685" s="3">
        <v>3731188</v>
      </c>
      <c r="H685" s="1" t="s">
        <v>0</v>
      </c>
      <c r="I685" s="1" t="s">
        <v>2</v>
      </c>
      <c r="J685" s="1" t="s">
        <v>56</v>
      </c>
      <c r="K685" s="2"/>
      <c r="L685" s="1">
        <v>47511021</v>
      </c>
      <c r="M685" t="s">
        <v>1300</v>
      </c>
      <c r="N685">
        <v>41751150</v>
      </c>
      <c r="O685" t="s">
        <v>1324</v>
      </c>
    </row>
    <row r="686" spans="1:15" hidden="1" x14ac:dyDescent="0.35">
      <c r="A686" s="1" t="s">
        <v>69</v>
      </c>
      <c r="B686" s="1" t="s">
        <v>4</v>
      </c>
      <c r="C686" s="1" t="s">
        <v>68</v>
      </c>
      <c r="D686" s="2">
        <v>46118</v>
      </c>
      <c r="E686" s="3">
        <v>3783010</v>
      </c>
      <c r="F686" s="3">
        <v>-51822</v>
      </c>
      <c r="G686" s="3">
        <v>3731188</v>
      </c>
      <c r="H686" s="1" t="s">
        <v>0</v>
      </c>
      <c r="I686" s="1" t="s">
        <v>2</v>
      </c>
      <c r="J686" s="1" t="s">
        <v>56</v>
      </c>
      <c r="K686" s="2"/>
      <c r="L686" s="1">
        <v>47511023</v>
      </c>
      <c r="M686" t="s">
        <v>1302</v>
      </c>
      <c r="N686">
        <v>41751150</v>
      </c>
      <c r="O686" t="s">
        <v>1324</v>
      </c>
    </row>
    <row r="687" spans="1:15" hidden="1" x14ac:dyDescent="0.35">
      <c r="A687" s="1" t="s">
        <v>67</v>
      </c>
      <c r="B687" s="1" t="s">
        <v>4</v>
      </c>
      <c r="C687" s="1" t="s">
        <v>66</v>
      </c>
      <c r="D687" s="2">
        <v>46124</v>
      </c>
      <c r="E687" s="3">
        <v>3783010</v>
      </c>
      <c r="F687" s="3">
        <v>-39385</v>
      </c>
      <c r="G687" s="3">
        <v>3743625</v>
      </c>
      <c r="H687" s="1" t="s">
        <v>0</v>
      </c>
      <c r="I687" s="1" t="s">
        <v>2</v>
      </c>
      <c r="J687" s="1" t="s">
        <v>56</v>
      </c>
      <c r="K687" s="2"/>
      <c r="L687" s="1">
        <v>47544010</v>
      </c>
      <c r="M687" t="s">
        <v>1296</v>
      </c>
      <c r="N687">
        <v>41754150</v>
      </c>
      <c r="O687" t="s">
        <v>1314</v>
      </c>
    </row>
    <row r="688" spans="1:15" hidden="1" x14ac:dyDescent="0.35">
      <c r="A688" s="1" t="s">
        <v>65</v>
      </c>
      <c r="B688" s="1" t="s">
        <v>4</v>
      </c>
      <c r="C688" s="1" t="s">
        <v>64</v>
      </c>
      <c r="D688" s="2">
        <v>46124</v>
      </c>
      <c r="E688" s="3">
        <v>3783010</v>
      </c>
      <c r="F688" s="3">
        <v>-39385</v>
      </c>
      <c r="G688" s="3">
        <v>3743625</v>
      </c>
      <c r="H688" s="1" t="s">
        <v>0</v>
      </c>
      <c r="I688" s="1" t="s">
        <v>2</v>
      </c>
      <c r="J688" s="1" t="s">
        <v>56</v>
      </c>
      <c r="K688" s="2"/>
      <c r="L688" s="1">
        <v>47567102</v>
      </c>
      <c r="M688" t="s">
        <v>1273</v>
      </c>
      <c r="N688">
        <v>41756150</v>
      </c>
      <c r="O688" t="s">
        <v>1320</v>
      </c>
    </row>
    <row r="689" spans="1:15" hidden="1" x14ac:dyDescent="0.35">
      <c r="A689" s="1" t="s">
        <v>63</v>
      </c>
      <c r="B689" s="1" t="s">
        <v>4</v>
      </c>
      <c r="C689" s="1" t="s">
        <v>62</v>
      </c>
      <c r="D689" s="2">
        <v>46128</v>
      </c>
      <c r="E689" s="3">
        <v>3451000</v>
      </c>
      <c r="F689" s="3">
        <v>-28364</v>
      </c>
      <c r="G689" s="3">
        <v>3422636</v>
      </c>
      <c r="H689" s="1" t="s">
        <v>0</v>
      </c>
      <c r="I689" s="1" t="s">
        <v>2</v>
      </c>
      <c r="J689" s="1" t="s">
        <v>56</v>
      </c>
      <c r="K689" s="2"/>
      <c r="L689" s="1">
        <v>47502031</v>
      </c>
      <c r="M689" t="s">
        <v>1279</v>
      </c>
      <c r="N689">
        <v>41750150</v>
      </c>
      <c r="O689" t="s">
        <v>1314</v>
      </c>
    </row>
    <row r="690" spans="1:15" hidden="1" x14ac:dyDescent="0.35">
      <c r="A690" s="1" t="s">
        <v>61</v>
      </c>
      <c r="B690" s="1" t="s">
        <v>4</v>
      </c>
      <c r="C690" s="1" t="s">
        <v>57</v>
      </c>
      <c r="D690" s="2">
        <v>46128</v>
      </c>
      <c r="E690" s="3">
        <v>13328000</v>
      </c>
      <c r="F690" s="3">
        <v>-109545</v>
      </c>
      <c r="G690" s="3">
        <v>13218455</v>
      </c>
      <c r="H690" s="1" t="s">
        <v>0</v>
      </c>
      <c r="I690" s="1" t="s">
        <v>2</v>
      </c>
      <c r="J690" s="1" t="s">
        <v>56</v>
      </c>
      <c r="K690" s="2"/>
      <c r="L690" s="1">
        <v>47567063</v>
      </c>
      <c r="M690" t="s">
        <v>1293</v>
      </c>
      <c r="N690">
        <v>41756150</v>
      </c>
      <c r="O690" t="s">
        <v>1323</v>
      </c>
    </row>
    <row r="691" spans="1:15" hidden="1" x14ac:dyDescent="0.35">
      <c r="A691" s="1" t="s">
        <v>60</v>
      </c>
      <c r="B691" s="1" t="s">
        <v>4</v>
      </c>
      <c r="C691" s="1" t="s">
        <v>57</v>
      </c>
      <c r="D691" s="2">
        <v>46128</v>
      </c>
      <c r="E691" s="3">
        <v>13328000</v>
      </c>
      <c r="F691" s="3">
        <v>-109545</v>
      </c>
      <c r="G691" s="3">
        <v>13218455</v>
      </c>
      <c r="H691" s="1" t="s">
        <v>0</v>
      </c>
      <c r="I691" s="1" t="s">
        <v>2</v>
      </c>
      <c r="J691" s="1" t="s">
        <v>56</v>
      </c>
      <c r="K691" s="2"/>
      <c r="L691" s="1">
        <v>47567063</v>
      </c>
      <c r="M691" t="s">
        <v>1293</v>
      </c>
      <c r="N691">
        <v>41756150</v>
      </c>
      <c r="O691" t="s">
        <v>1323</v>
      </c>
    </row>
    <row r="692" spans="1:15" hidden="1" x14ac:dyDescent="0.35">
      <c r="A692" s="1" t="s">
        <v>59</v>
      </c>
      <c r="B692" s="1" t="s">
        <v>4</v>
      </c>
      <c r="C692" s="1" t="s">
        <v>57</v>
      </c>
      <c r="D692" s="2">
        <v>46128</v>
      </c>
      <c r="E692" s="3">
        <v>13328000</v>
      </c>
      <c r="F692" s="3">
        <v>-109545</v>
      </c>
      <c r="G692" s="3">
        <v>13218455</v>
      </c>
      <c r="H692" s="1" t="s">
        <v>0</v>
      </c>
      <c r="I692" s="1" t="s">
        <v>2</v>
      </c>
      <c r="J692" s="1" t="s">
        <v>56</v>
      </c>
      <c r="K692" s="2"/>
      <c r="L692" s="1">
        <v>47567063</v>
      </c>
      <c r="M692" t="s">
        <v>1293</v>
      </c>
      <c r="N692">
        <v>41756150</v>
      </c>
      <c r="O692" t="s">
        <v>1323</v>
      </c>
    </row>
    <row r="693" spans="1:15" hidden="1" x14ac:dyDescent="0.35">
      <c r="A693" s="1" t="s">
        <v>58</v>
      </c>
      <c r="B693" s="1" t="s">
        <v>4</v>
      </c>
      <c r="C693" s="1" t="s">
        <v>57</v>
      </c>
      <c r="D693" s="2">
        <v>46128</v>
      </c>
      <c r="E693" s="3">
        <v>13328000</v>
      </c>
      <c r="F693" s="3">
        <v>-109545</v>
      </c>
      <c r="G693" s="3">
        <v>13218455</v>
      </c>
      <c r="H693" s="1" t="s">
        <v>0</v>
      </c>
      <c r="I693" s="1" t="s">
        <v>2</v>
      </c>
      <c r="J693" s="1" t="s">
        <v>56</v>
      </c>
      <c r="K693" s="2"/>
      <c r="L693" s="1">
        <v>47567063</v>
      </c>
      <c r="M693" t="s">
        <v>1293</v>
      </c>
      <c r="N693">
        <v>41756150</v>
      </c>
      <c r="O693" t="s">
        <v>1323</v>
      </c>
    </row>
    <row r="694" spans="1:15" x14ac:dyDescent="0.35">
      <c r="A694" s="1" t="s">
        <v>55</v>
      </c>
      <c r="B694" s="1" t="s">
        <v>4</v>
      </c>
      <c r="C694" s="1" t="s">
        <v>54</v>
      </c>
      <c r="D694" s="2">
        <v>42005</v>
      </c>
      <c r="E694" s="3">
        <v>300000</v>
      </c>
      <c r="F694" s="3">
        <v>-300000</v>
      </c>
      <c r="G694" s="3">
        <v>0</v>
      </c>
      <c r="H694" s="1" t="s">
        <v>0</v>
      </c>
      <c r="I694" s="1" t="s">
        <v>2</v>
      </c>
      <c r="J694" s="1" t="s">
        <v>24</v>
      </c>
      <c r="K694" s="2"/>
      <c r="L694" s="14">
        <v>47544032</v>
      </c>
      <c r="M694" t="s">
        <v>1277</v>
      </c>
      <c r="N694" s="12">
        <v>41754150</v>
      </c>
      <c r="O694" t="s">
        <v>1321</v>
      </c>
    </row>
    <row r="695" spans="1:15" x14ac:dyDescent="0.35">
      <c r="A695" s="1" t="s">
        <v>53</v>
      </c>
      <c r="B695" s="1" t="s">
        <v>4</v>
      </c>
      <c r="C695" s="1" t="s">
        <v>49</v>
      </c>
      <c r="D695" s="2">
        <v>42005</v>
      </c>
      <c r="E695" s="3">
        <v>350000</v>
      </c>
      <c r="F695" s="3">
        <v>-350000</v>
      </c>
      <c r="G695" s="3">
        <v>0</v>
      </c>
      <c r="H695" s="1" t="s">
        <v>0</v>
      </c>
      <c r="I695" s="1" t="s">
        <v>2</v>
      </c>
      <c r="J695" s="1" t="s">
        <v>24</v>
      </c>
      <c r="K695" s="2"/>
      <c r="L695" s="14">
        <v>47544032</v>
      </c>
      <c r="M695" t="s">
        <v>1277</v>
      </c>
      <c r="N695" s="12">
        <v>41754150</v>
      </c>
      <c r="O695" t="s">
        <v>1321</v>
      </c>
    </row>
    <row r="696" spans="1:15" x14ac:dyDescent="0.35">
      <c r="A696" s="1" t="s">
        <v>52</v>
      </c>
      <c r="B696" s="1" t="s">
        <v>4</v>
      </c>
      <c r="C696" s="1" t="s">
        <v>49</v>
      </c>
      <c r="D696" s="2">
        <v>42005</v>
      </c>
      <c r="E696" s="3">
        <v>350000</v>
      </c>
      <c r="F696" s="3">
        <v>-350000</v>
      </c>
      <c r="G696" s="3">
        <v>0</v>
      </c>
      <c r="H696" s="1" t="s">
        <v>0</v>
      </c>
      <c r="I696" s="1" t="s">
        <v>2</v>
      </c>
      <c r="J696" s="1" t="s">
        <v>24</v>
      </c>
      <c r="K696" s="2"/>
      <c r="L696" s="14">
        <v>47544032</v>
      </c>
      <c r="M696" t="s">
        <v>1277</v>
      </c>
      <c r="N696" s="12">
        <v>41754150</v>
      </c>
      <c r="O696" t="s">
        <v>1321</v>
      </c>
    </row>
    <row r="697" spans="1:15" x14ac:dyDescent="0.35">
      <c r="A697" s="1" t="s">
        <v>51</v>
      </c>
      <c r="B697" s="1" t="s">
        <v>4</v>
      </c>
      <c r="C697" s="1" t="s">
        <v>49</v>
      </c>
      <c r="D697" s="2">
        <v>42005</v>
      </c>
      <c r="E697" s="3">
        <v>350000</v>
      </c>
      <c r="F697" s="3">
        <v>-350000</v>
      </c>
      <c r="G697" s="3">
        <v>0</v>
      </c>
      <c r="H697" s="1" t="s">
        <v>0</v>
      </c>
      <c r="I697" s="1" t="s">
        <v>2</v>
      </c>
      <c r="J697" s="1" t="s">
        <v>24</v>
      </c>
      <c r="K697" s="2"/>
      <c r="L697" s="14">
        <v>47544032</v>
      </c>
      <c r="M697" t="s">
        <v>1277</v>
      </c>
      <c r="N697" s="12">
        <v>41754150</v>
      </c>
      <c r="O697" t="s">
        <v>1321</v>
      </c>
    </row>
    <row r="698" spans="1:15" x14ac:dyDescent="0.35">
      <c r="A698" s="1" t="s">
        <v>50</v>
      </c>
      <c r="B698" s="1" t="s">
        <v>4</v>
      </c>
      <c r="C698" s="1" t="s">
        <v>49</v>
      </c>
      <c r="D698" s="2">
        <v>42005</v>
      </c>
      <c r="E698" s="3">
        <v>350000</v>
      </c>
      <c r="F698" s="3">
        <v>-350000</v>
      </c>
      <c r="G698" s="3">
        <v>0</v>
      </c>
      <c r="H698" s="1" t="s">
        <v>0</v>
      </c>
      <c r="I698" s="1" t="s">
        <v>2</v>
      </c>
      <c r="J698" s="1" t="s">
        <v>24</v>
      </c>
      <c r="K698" s="2"/>
      <c r="L698" s="14">
        <v>47544032</v>
      </c>
      <c r="M698" t="s">
        <v>1277</v>
      </c>
      <c r="N698" s="12">
        <v>41754150</v>
      </c>
      <c r="O698" t="s">
        <v>1321</v>
      </c>
    </row>
    <row r="699" spans="1:15" x14ac:dyDescent="0.35">
      <c r="A699" s="1" t="s">
        <v>48</v>
      </c>
      <c r="B699" s="1" t="s">
        <v>4</v>
      </c>
      <c r="C699" s="1" t="s">
        <v>47</v>
      </c>
      <c r="D699" s="2">
        <v>42005</v>
      </c>
      <c r="E699" s="3">
        <v>500000</v>
      </c>
      <c r="F699" s="3">
        <v>-500000</v>
      </c>
      <c r="G699" s="3">
        <v>0</v>
      </c>
      <c r="H699" s="1" t="s">
        <v>0</v>
      </c>
      <c r="I699" s="1" t="s">
        <v>2</v>
      </c>
      <c r="J699" s="1" t="s">
        <v>24</v>
      </c>
      <c r="K699" s="2"/>
      <c r="L699" s="14">
        <v>47544032</v>
      </c>
      <c r="M699" t="s">
        <v>1277</v>
      </c>
      <c r="N699" s="12">
        <v>41754150</v>
      </c>
      <c r="O699" t="s">
        <v>1321</v>
      </c>
    </row>
    <row r="700" spans="1:15" x14ac:dyDescent="0.35">
      <c r="A700" s="1" t="s">
        <v>46</v>
      </c>
      <c r="B700" s="1" t="s">
        <v>4</v>
      </c>
      <c r="C700" s="1" t="s">
        <v>45</v>
      </c>
      <c r="D700" s="2">
        <v>42005</v>
      </c>
      <c r="E700" s="3">
        <v>500000</v>
      </c>
      <c r="F700" s="3">
        <v>-500000</v>
      </c>
      <c r="G700" s="3">
        <v>0</v>
      </c>
      <c r="H700" s="1" t="s">
        <v>0</v>
      </c>
      <c r="I700" s="1" t="s">
        <v>2</v>
      </c>
      <c r="J700" s="1" t="s">
        <v>24</v>
      </c>
      <c r="K700" s="2"/>
      <c r="L700" s="14">
        <v>47544032</v>
      </c>
      <c r="M700" t="s">
        <v>1277</v>
      </c>
      <c r="N700" s="12">
        <v>41754150</v>
      </c>
      <c r="O700" t="s">
        <v>1321</v>
      </c>
    </row>
    <row r="701" spans="1:15" x14ac:dyDescent="0.35">
      <c r="A701" s="1" t="s">
        <v>44</v>
      </c>
      <c r="B701" s="1" t="s">
        <v>4</v>
      </c>
      <c r="C701" s="1" t="s">
        <v>43</v>
      </c>
      <c r="D701" s="2">
        <v>42005</v>
      </c>
      <c r="E701" s="3">
        <v>500000</v>
      </c>
      <c r="F701" s="3">
        <v>-500000</v>
      </c>
      <c r="G701" s="3">
        <v>0</v>
      </c>
      <c r="H701" s="1" t="s">
        <v>0</v>
      </c>
      <c r="I701" s="1" t="s">
        <v>2</v>
      </c>
      <c r="J701" s="1" t="s">
        <v>24</v>
      </c>
      <c r="K701" s="2"/>
      <c r="L701" s="14">
        <v>47544032</v>
      </c>
      <c r="M701" t="s">
        <v>1277</v>
      </c>
      <c r="N701" s="12">
        <v>41754150</v>
      </c>
      <c r="O701" t="s">
        <v>1321</v>
      </c>
    </row>
    <row r="702" spans="1:15" x14ac:dyDescent="0.35">
      <c r="A702" s="1" t="s">
        <v>42</v>
      </c>
      <c r="B702" s="1" t="s">
        <v>4</v>
      </c>
      <c r="C702" s="1" t="s">
        <v>41</v>
      </c>
      <c r="D702" s="2">
        <v>42005</v>
      </c>
      <c r="E702" s="3">
        <v>850000</v>
      </c>
      <c r="F702" s="3">
        <v>-850000</v>
      </c>
      <c r="G702" s="3">
        <v>0</v>
      </c>
      <c r="H702" s="1" t="s">
        <v>0</v>
      </c>
      <c r="I702" s="1" t="s">
        <v>2</v>
      </c>
      <c r="J702" s="1" t="s">
        <v>24</v>
      </c>
      <c r="K702" s="2"/>
      <c r="L702" s="14">
        <v>47544032</v>
      </c>
      <c r="M702" t="s">
        <v>1277</v>
      </c>
      <c r="N702" s="12">
        <v>41754150</v>
      </c>
      <c r="O702" t="s">
        <v>1321</v>
      </c>
    </row>
    <row r="703" spans="1:15" x14ac:dyDescent="0.35">
      <c r="A703" s="1" t="s">
        <v>40</v>
      </c>
      <c r="B703" s="1" t="s">
        <v>4</v>
      </c>
      <c r="C703" s="1" t="s">
        <v>39</v>
      </c>
      <c r="D703" s="2">
        <v>42005</v>
      </c>
      <c r="E703" s="3">
        <v>1500000</v>
      </c>
      <c r="F703" s="3">
        <v>-1500000</v>
      </c>
      <c r="G703" s="3">
        <v>0</v>
      </c>
      <c r="H703" s="1" t="s">
        <v>0</v>
      </c>
      <c r="I703" s="1" t="s">
        <v>2</v>
      </c>
      <c r="J703" s="1" t="s">
        <v>24</v>
      </c>
      <c r="K703" s="2"/>
      <c r="L703" s="14">
        <v>47544032</v>
      </c>
      <c r="M703" t="s">
        <v>1277</v>
      </c>
      <c r="N703" s="12">
        <v>41754150</v>
      </c>
      <c r="O703" t="s">
        <v>1321</v>
      </c>
    </row>
    <row r="704" spans="1:15" x14ac:dyDescent="0.35">
      <c r="A704" s="1" t="s">
        <v>38</v>
      </c>
      <c r="B704" s="1" t="s">
        <v>4</v>
      </c>
      <c r="C704" s="1" t="s">
        <v>37</v>
      </c>
      <c r="D704" s="2">
        <v>42005</v>
      </c>
      <c r="E704" s="3">
        <v>1500000</v>
      </c>
      <c r="F704" s="3">
        <v>-1500000</v>
      </c>
      <c r="G704" s="3">
        <v>0</v>
      </c>
      <c r="H704" s="1" t="s">
        <v>0</v>
      </c>
      <c r="I704" s="1" t="s">
        <v>2</v>
      </c>
      <c r="J704" s="1" t="s">
        <v>24</v>
      </c>
      <c r="K704" s="2"/>
      <c r="L704" s="14">
        <v>47544032</v>
      </c>
      <c r="M704" t="s">
        <v>1277</v>
      </c>
      <c r="N704" s="12">
        <v>41754150</v>
      </c>
      <c r="O704" t="s">
        <v>1321</v>
      </c>
    </row>
    <row r="705" spans="1:15" x14ac:dyDescent="0.35">
      <c r="A705" s="1" t="s">
        <v>36</v>
      </c>
      <c r="B705" s="1" t="s">
        <v>4</v>
      </c>
      <c r="C705" s="1" t="s">
        <v>35</v>
      </c>
      <c r="D705" s="2">
        <v>42005</v>
      </c>
      <c r="E705" s="3">
        <v>1950000</v>
      </c>
      <c r="F705" s="3">
        <v>-1950000</v>
      </c>
      <c r="G705" s="3">
        <v>0</v>
      </c>
      <c r="H705" s="1" t="s">
        <v>0</v>
      </c>
      <c r="I705" s="1" t="s">
        <v>2</v>
      </c>
      <c r="J705" s="1" t="s">
        <v>24</v>
      </c>
      <c r="K705" s="2"/>
      <c r="L705" s="14">
        <v>47544032</v>
      </c>
      <c r="M705" t="s">
        <v>1277</v>
      </c>
      <c r="N705" s="12">
        <v>41754150</v>
      </c>
      <c r="O705" t="s">
        <v>1321</v>
      </c>
    </row>
    <row r="706" spans="1:15" x14ac:dyDescent="0.35">
      <c r="A706" s="1" t="s">
        <v>34</v>
      </c>
      <c r="B706" s="1" t="s">
        <v>4</v>
      </c>
      <c r="C706" s="1" t="s">
        <v>33</v>
      </c>
      <c r="D706" s="2">
        <v>42005</v>
      </c>
      <c r="E706" s="3">
        <v>10000000</v>
      </c>
      <c r="F706" s="3">
        <v>-10000000</v>
      </c>
      <c r="G706" s="3">
        <v>0</v>
      </c>
      <c r="H706" s="1" t="s">
        <v>0</v>
      </c>
      <c r="I706" s="1" t="s">
        <v>2</v>
      </c>
      <c r="J706" s="1" t="s">
        <v>24</v>
      </c>
      <c r="K706" s="2"/>
      <c r="L706" s="14">
        <v>47544032</v>
      </c>
      <c r="M706" t="s">
        <v>1277</v>
      </c>
      <c r="N706" s="12">
        <v>41754150</v>
      </c>
      <c r="O706" t="s">
        <v>1321</v>
      </c>
    </row>
    <row r="707" spans="1:15" x14ac:dyDescent="0.35">
      <c r="A707" s="1" t="s">
        <v>32</v>
      </c>
      <c r="B707" s="1" t="s">
        <v>4</v>
      </c>
      <c r="C707" s="1" t="s">
        <v>31</v>
      </c>
      <c r="D707" s="2">
        <v>42005</v>
      </c>
      <c r="E707" s="3">
        <v>10000000</v>
      </c>
      <c r="F707" s="3">
        <v>-10000000</v>
      </c>
      <c r="G707" s="3">
        <v>0</v>
      </c>
      <c r="H707" s="1" t="s">
        <v>0</v>
      </c>
      <c r="I707" s="1" t="s">
        <v>2</v>
      </c>
      <c r="J707" s="1" t="s">
        <v>24</v>
      </c>
      <c r="K707" s="2"/>
      <c r="L707" s="14">
        <v>47544032</v>
      </c>
      <c r="M707" t="s">
        <v>1277</v>
      </c>
      <c r="N707" s="12">
        <v>41754150</v>
      </c>
      <c r="O707" t="s">
        <v>1321</v>
      </c>
    </row>
    <row r="708" spans="1:15" x14ac:dyDescent="0.35">
      <c r="A708" s="1" t="s">
        <v>30</v>
      </c>
      <c r="B708" s="1" t="s">
        <v>4</v>
      </c>
      <c r="C708" s="1" t="s">
        <v>29</v>
      </c>
      <c r="D708" s="2">
        <v>42005</v>
      </c>
      <c r="E708" s="3">
        <v>27900000</v>
      </c>
      <c r="F708" s="3">
        <v>-27900000</v>
      </c>
      <c r="G708" s="3">
        <v>0</v>
      </c>
      <c r="H708" s="1" t="s">
        <v>0</v>
      </c>
      <c r="I708" s="1" t="s">
        <v>2</v>
      </c>
      <c r="J708" s="1" t="s">
        <v>24</v>
      </c>
      <c r="K708" s="2"/>
      <c r="L708" s="14">
        <v>47544032</v>
      </c>
      <c r="M708" t="s">
        <v>1277</v>
      </c>
      <c r="N708" s="12">
        <v>41754150</v>
      </c>
      <c r="O708" t="s">
        <v>1321</v>
      </c>
    </row>
    <row r="709" spans="1:15" x14ac:dyDescent="0.35">
      <c r="A709" s="1" t="s">
        <v>28</v>
      </c>
      <c r="B709" s="1" t="s">
        <v>4</v>
      </c>
      <c r="C709" s="1" t="s">
        <v>27</v>
      </c>
      <c r="D709" s="2">
        <v>42005</v>
      </c>
      <c r="E709" s="3">
        <v>34000000</v>
      </c>
      <c r="F709" s="3">
        <v>-32478540</v>
      </c>
      <c r="G709" s="3">
        <v>1521460</v>
      </c>
      <c r="H709" s="1" t="s">
        <v>0</v>
      </c>
      <c r="I709" s="1" t="s">
        <v>2</v>
      </c>
      <c r="J709" s="1" t="s">
        <v>24</v>
      </c>
      <c r="K709" s="2"/>
      <c r="L709" s="14">
        <v>47544032</v>
      </c>
      <c r="M709" t="s">
        <v>1277</v>
      </c>
      <c r="N709" s="12">
        <v>41754150</v>
      </c>
      <c r="O709" t="s">
        <v>1321</v>
      </c>
    </row>
    <row r="710" spans="1:15" x14ac:dyDescent="0.35">
      <c r="A710" s="1" t="s">
        <v>26</v>
      </c>
      <c r="B710" s="1" t="s">
        <v>4</v>
      </c>
      <c r="C710" s="1" t="s">
        <v>25</v>
      </c>
      <c r="D710" s="2">
        <v>42005</v>
      </c>
      <c r="E710" s="3">
        <v>150575051</v>
      </c>
      <c r="F710" s="3">
        <v>-129153513</v>
      </c>
      <c r="G710" s="3">
        <v>21421538</v>
      </c>
      <c r="H710" s="1" t="s">
        <v>0</v>
      </c>
      <c r="I710" s="1" t="s">
        <v>2</v>
      </c>
      <c r="J710" s="1" t="s">
        <v>24</v>
      </c>
      <c r="K710" s="2"/>
      <c r="L710" s="14">
        <v>47544032</v>
      </c>
      <c r="M710" t="s">
        <v>1277</v>
      </c>
      <c r="N710" s="12">
        <v>41754150</v>
      </c>
      <c r="O710" t="s">
        <v>1321</v>
      </c>
    </row>
    <row r="711" spans="1:15" x14ac:dyDescent="0.35">
      <c r="A711" s="8" t="s">
        <v>7</v>
      </c>
      <c r="B711" s="1" t="s">
        <v>4</v>
      </c>
      <c r="C711" s="1" t="s">
        <v>6</v>
      </c>
      <c r="D711" s="2">
        <v>45230</v>
      </c>
      <c r="E711" s="3">
        <v>2361369</v>
      </c>
      <c r="F711" s="3">
        <v>0</v>
      </c>
      <c r="G711" s="3">
        <v>2361369</v>
      </c>
      <c r="H711" s="1" t="s">
        <v>0</v>
      </c>
      <c r="I711" s="1" t="s">
        <v>2</v>
      </c>
      <c r="J711" s="1" t="s">
        <v>1</v>
      </c>
      <c r="K711" s="2"/>
      <c r="L711" s="14">
        <v>47544015</v>
      </c>
      <c r="M711" t="s">
        <v>1280</v>
      </c>
      <c r="N711" s="12">
        <v>41754150</v>
      </c>
      <c r="O711" t="s">
        <v>1340</v>
      </c>
    </row>
    <row r="712" spans="1:15" x14ac:dyDescent="0.35">
      <c r="A712" s="8" t="s">
        <v>5</v>
      </c>
      <c r="B712" s="1" t="s">
        <v>4</v>
      </c>
      <c r="C712" s="1" t="s">
        <v>3</v>
      </c>
      <c r="D712" s="2">
        <v>45747</v>
      </c>
      <c r="E712" s="3">
        <v>209560574</v>
      </c>
      <c r="F712" s="3">
        <v>0</v>
      </c>
      <c r="G712" s="3">
        <v>209560574</v>
      </c>
      <c r="H712" s="1" t="s">
        <v>0</v>
      </c>
      <c r="I712" s="1" t="s">
        <v>2</v>
      </c>
      <c r="J712" s="1" t="s">
        <v>1</v>
      </c>
      <c r="K712" s="2"/>
      <c r="L712" s="14">
        <v>47544013</v>
      </c>
      <c r="M712" t="s">
        <v>1284</v>
      </c>
      <c r="N712" s="12">
        <v>41754150</v>
      </c>
      <c r="O712" t="s">
        <v>1354</v>
      </c>
    </row>
  </sheetData>
  <autoFilter ref="A2:S712" xr:uid="{FBE7EA2E-83C0-40AE-BB86-CC2884369EFC}">
    <filterColumn colId="13">
      <colorFilter dxfId="6"/>
    </filterColumn>
  </autoFilter>
  <sortState xmlns:xlrd2="http://schemas.microsoft.com/office/spreadsheetml/2017/richdata2" ref="A3:S712">
    <sortCondition ref="A3:A712"/>
  </sortState>
  <mergeCells count="1">
    <mergeCell ref="P1:Q1"/>
  </mergeCells>
  <conditionalFormatting sqref="A1:A1048576">
    <cfRule type="duplicateValues" dxfId="2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Etiqueta provisional</vt:lpstr>
      <vt:lpstr>Hoja1</vt:lpstr>
      <vt:lpstr>Hoja3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Maria Cortes Jimenez</dc:creator>
  <cp:lastModifiedBy>Ricaurte Antonio Palacios Valencia</cp:lastModifiedBy>
  <cp:lastPrinted>2026-05-05T21:31:31Z</cp:lastPrinted>
  <dcterms:created xsi:type="dcterms:W3CDTF">2026-04-29T01:55:19Z</dcterms:created>
  <dcterms:modified xsi:type="dcterms:W3CDTF">2026-05-12T21:02:33Z</dcterms:modified>
</cp:coreProperties>
</file>